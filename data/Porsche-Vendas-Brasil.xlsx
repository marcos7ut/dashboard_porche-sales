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Resumo" sheetId="2" state="visible" r:id="rId4"/>
    <sheet name="Vendas" sheetId="3" state="visible" r:id="rId5"/>
    <sheet name="Premissas" sheetId="4" state="visible" r:id="rId6"/>
    <sheet name="Dicionári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Preço desta versão ÷ preço da versão mais barata da mesma linha (tabela original). 1,00x = preço de entrada.</t>
        </r>
      </text>
    </comment>
  </commentList>
</comments>
</file>

<file path=xl/sharedStrings.xml><?xml version="1.0" encoding="utf-8"?>
<sst xmlns="http://schemas.openxmlformats.org/spreadsheetml/2006/main" count="1207" uniqueCount="282">
  <si>
    <t xml:space="preserve">Porsche · Vendas Brasil</t>
  </si>
  <si>
    <t xml:space="preserve">Base analítica de 100 vendas por versão, ano, cidade, estado e forma de pagamento</t>
  </si>
  <si>
    <t xml:space="preserve">⚠ Base simulada para fins de demonstração — não representa vendas reais da Porsche Brasil.</t>
  </si>
  <si>
    <t xml:space="preserve">Abas</t>
  </si>
  <si>
    <t xml:space="preserve">Vendas</t>
  </si>
  <si>
    <t xml:space="preserve">Uma linha por venda (fato). Valor calculado por fórmula a partir das Premissas.</t>
  </si>
  <si>
    <t xml:space="preserve">Resumo</t>
  </si>
  <si>
    <t xml:space="preserve">Indicadores e totais por linha, segmento, propulsão, estado, região, ano e pagamento (fórmulas).</t>
  </si>
  <si>
    <t xml:space="preserve">Premissas</t>
  </si>
  <si>
    <t xml:space="preserve">Preços de entrada por linha no Brasil. Células amarelas são editáveis e recalculam toda a base.</t>
  </si>
  <si>
    <t xml:space="preserve">Dicionário</t>
  </si>
  <si>
    <t xml:space="preserve">Descrição, tipo e regra de cada coluna da aba Vendas.</t>
  </si>
  <si>
    <t xml:space="preserve">Metodologia</t>
  </si>
  <si>
    <t xml:space="preserve">Origem</t>
  </si>
  <si>
    <t xml:space="preserve">Tabela de demonstração com 100 vendas (EUA, US$) do dashboard original do repositório.</t>
  </si>
  <si>
    <t xml:space="preserve">Valores em R$</t>
  </si>
  <si>
    <t xml:space="preserve">Preço de entrada da linha no Brasil × fator de versão (proporção de preço da versão sobre a versão mais barata da mesma linha na tabela original), arredondado a R$ 1.000.</t>
  </si>
  <si>
    <t xml:space="preserve">Localização</t>
  </si>
  <si>
    <t xml:space="preserve">Cidades substituídas pelas 13 cidades com Porsche Center no Brasil (14 lojas), com peso maior para mercados maiores (São Paulo).</t>
  </si>
  <si>
    <t xml:space="preserve">Pagamento</t>
  </si>
  <si>
    <t xml:space="preserve">Adaptado ao Brasil: Wire Transfer→Pix, Bank Transfer→TED, ACH→Boleto, Cash→Dinheiro, Financing→Financiamento, Lease→Leasing.</t>
  </si>
  <si>
    <t xml:space="preserve">Campos derivados</t>
  </si>
  <si>
    <t xml:space="preserve">Segmento (Esportivo, Sedã / GT, SUV), Propulsão (Combustão, Híbrido, Elétrico) e Faixa de preço.</t>
  </si>
  <si>
    <t xml:space="preserve">Fontes</t>
  </si>
  <si>
    <t xml:space="preserve">Preços de entrada</t>
  </si>
  <si>
    <t xml:space="preserve">Vrum / Estado de Minas, “Porsche no Brasil: preços atualizados dos modelos”, fev/2026 — https://www.vrum.com.br/mercado/2026/02/7348831-porsche-no-brasil-precos-atualizados-dos-modelos-e-o-mais-desejado.html</t>
  </si>
  <si>
    <t xml:space="preserve">Rede de concessionárias</t>
  </si>
  <si>
    <t xml:space="preserve">Porsche Brasil — https://www.porsche.com/brazil/pt/aboutporsche/porschebrasil</t>
  </si>
  <si>
    <t xml:space="preserve">Tabela original</t>
  </si>
  <si>
    <t xml:space="preserve">https://github.com/marcos7ut/dashboard_porche-sales (versão anterior do index.html)</t>
  </si>
  <si>
    <t xml:space="preserve">Resumo executivo</t>
  </si>
  <si>
    <t xml:space="preserve">Todos os números são fórmulas sobre a aba Vendas</t>
  </si>
  <si>
    <t xml:space="preserve">Receita total</t>
  </si>
  <si>
    <t xml:space="preserve">Unidades vendidas</t>
  </si>
  <si>
    <t xml:space="preserve">Ticket médio</t>
  </si>
  <si>
    <t xml:space="preserve">Mediana do preço</t>
  </si>
  <si>
    <t xml:space="preserve">Maior venda</t>
  </si>
  <si>
    <t xml:space="preserve">Versões diferentes</t>
  </si>
  <si>
    <t xml:space="preserve">Por linha</t>
  </si>
  <si>
    <t xml:space="preserve">Por estado (UF)</t>
  </si>
  <si>
    <t xml:space="preserve">Linha</t>
  </si>
  <si>
    <t xml:space="preserve">Unid.</t>
  </si>
  <si>
    <t xml:space="preserve">Receita (R$)</t>
  </si>
  <si>
    <t xml:space="preserve">% receita</t>
  </si>
  <si>
    <t xml:space="preserve">UF</t>
  </si>
  <si>
    <t xml:space="preserve">911</t>
  </si>
  <si>
    <t xml:space="preserve">SP</t>
  </si>
  <si>
    <t xml:space="preserve">Cayenne</t>
  </si>
  <si>
    <t xml:space="preserve">RJ</t>
  </si>
  <si>
    <t xml:space="preserve">Panamera</t>
  </si>
  <si>
    <t xml:space="preserve">MG</t>
  </si>
  <si>
    <t xml:space="preserve">Taycan</t>
  </si>
  <si>
    <t xml:space="preserve">DF</t>
  </si>
  <si>
    <t xml:space="preserve">718</t>
  </si>
  <si>
    <t xml:space="preserve">PR</t>
  </si>
  <si>
    <t xml:space="preserve">Macan</t>
  </si>
  <si>
    <t xml:space="preserve">RS</t>
  </si>
  <si>
    <t xml:space="preserve">SC</t>
  </si>
  <si>
    <t xml:space="preserve">Por segmento</t>
  </si>
  <si>
    <t xml:space="preserve">GO</t>
  </si>
  <si>
    <t xml:space="preserve">Segmento</t>
  </si>
  <si>
    <t xml:space="preserve">PE</t>
  </si>
  <si>
    <t xml:space="preserve">Esportivo</t>
  </si>
  <si>
    <t xml:space="preserve">BA</t>
  </si>
  <si>
    <t xml:space="preserve">Sedã / GT</t>
  </si>
  <si>
    <t xml:space="preserve">CE</t>
  </si>
  <si>
    <t xml:space="preserve">SUV</t>
  </si>
  <si>
    <t xml:space="preserve">Por região</t>
  </si>
  <si>
    <t xml:space="preserve">Por propulsão</t>
  </si>
  <si>
    <t xml:space="preserve">Região</t>
  </si>
  <si>
    <t xml:space="preserve">Propulsão</t>
  </si>
  <si>
    <t xml:space="preserve">Sudeste</t>
  </si>
  <si>
    <t xml:space="preserve">Combustão</t>
  </si>
  <si>
    <t xml:space="preserve">Sul</t>
  </si>
  <si>
    <t xml:space="preserve">Híbrido</t>
  </si>
  <si>
    <t xml:space="preserve">Centro-Oeste</t>
  </si>
  <si>
    <t xml:space="preserve">Elétrico</t>
  </si>
  <si>
    <t xml:space="preserve">Nordeste</t>
  </si>
  <si>
    <t xml:space="preserve">Por faixa de preço</t>
  </si>
  <si>
    <t xml:space="preserve">Por ano</t>
  </si>
  <si>
    <t xml:space="preserve">Faixa de preço</t>
  </si>
  <si>
    <t xml:space="preserve">Ano</t>
  </si>
  <si>
    <t xml:space="preserve">Até R$ 1 mi</t>
  </si>
  <si>
    <t xml:space="preserve">2020</t>
  </si>
  <si>
    <t xml:space="preserve">R$ 1–1,5 mi</t>
  </si>
  <si>
    <t xml:space="preserve">2021</t>
  </si>
  <si>
    <t xml:space="preserve">R$ 1,5–2 mi</t>
  </si>
  <si>
    <t xml:space="preserve">2022</t>
  </si>
  <si>
    <t xml:space="preserve">Acima de R$ 2 mi</t>
  </si>
  <si>
    <t xml:space="preserve">2023</t>
  </si>
  <si>
    <t xml:space="preserve">2024</t>
  </si>
  <si>
    <t xml:space="preserve">2025</t>
  </si>
  <si>
    <t xml:space="preserve">2026</t>
  </si>
  <si>
    <t xml:space="preserve">Por forma de pagamento</t>
  </si>
  <si>
    <t xml:space="preserve">Forma de pagamento</t>
  </si>
  <si>
    <t xml:space="preserve">Boleto</t>
  </si>
  <si>
    <t xml:space="preserve">Cartão de crédito</t>
  </si>
  <si>
    <t xml:space="preserve">Cartão de débito</t>
  </si>
  <si>
    <t xml:space="preserve">Criptomoeda</t>
  </si>
  <si>
    <t xml:space="preserve">Dinheiro</t>
  </si>
  <si>
    <t xml:space="preserve">Financiamento</t>
  </si>
  <si>
    <t xml:space="preserve">Leasing</t>
  </si>
  <si>
    <t xml:space="preserve">Pix</t>
  </si>
  <si>
    <t xml:space="preserve">TED</t>
  </si>
  <si>
    <t xml:space="preserve">ID</t>
  </si>
  <si>
    <t xml:space="preserve">Versão</t>
  </si>
  <si>
    <t xml:space="preserve">Cidade</t>
  </si>
  <si>
    <t xml:space="preserve">Fator de versão</t>
  </si>
  <si>
    <t xml:space="preserve">Valor (R$)</t>
  </si>
  <si>
    <t xml:space="preserve">VND-001</t>
  </si>
  <si>
    <t xml:space="preserve">718 Cayman</t>
  </si>
  <si>
    <t xml:space="preserve">Campinas</t>
  </si>
  <si>
    <t xml:space="preserve">VND-002</t>
  </si>
  <si>
    <t xml:space="preserve">911 Turbo S</t>
  </si>
  <si>
    <t xml:space="preserve">Recife</t>
  </si>
  <si>
    <t xml:space="preserve">VND-003</t>
  </si>
  <si>
    <t xml:space="preserve">Cayenne Coupe</t>
  </si>
  <si>
    <t xml:space="preserve">Brasília</t>
  </si>
  <si>
    <t xml:space="preserve">VND-004</t>
  </si>
  <si>
    <t xml:space="preserve">Macan S</t>
  </si>
  <si>
    <t xml:space="preserve">Belo Horizonte</t>
  </si>
  <si>
    <t xml:space="preserve">VND-005</t>
  </si>
  <si>
    <t xml:space="preserve">Taycan 4S</t>
  </si>
  <si>
    <t xml:space="preserve">Fortaleza</t>
  </si>
  <si>
    <t xml:space="preserve">VND-006</t>
  </si>
  <si>
    <t xml:space="preserve">Panamera 4</t>
  </si>
  <si>
    <t xml:space="preserve">Rio de Janeiro</t>
  </si>
  <si>
    <t xml:space="preserve">VND-007</t>
  </si>
  <si>
    <t xml:space="preserve">911 Carrera S</t>
  </si>
  <si>
    <t xml:space="preserve">Porto Alegre</t>
  </si>
  <si>
    <t xml:space="preserve">VND-008</t>
  </si>
  <si>
    <t xml:space="preserve">Cayenne E-Hybrid</t>
  </si>
  <si>
    <t xml:space="preserve">Florianópolis</t>
  </si>
  <si>
    <t xml:space="preserve">VND-009</t>
  </si>
  <si>
    <t xml:space="preserve">718 Boxster</t>
  </si>
  <si>
    <t xml:space="preserve">Goiânia</t>
  </si>
  <si>
    <t xml:space="preserve">VND-010</t>
  </si>
  <si>
    <t xml:space="preserve">Macan GTS</t>
  </si>
  <si>
    <t xml:space="preserve">São Paulo</t>
  </si>
  <si>
    <t xml:space="preserve">VND-011</t>
  </si>
  <si>
    <t xml:space="preserve">Taycan Turbo</t>
  </si>
  <si>
    <t xml:space="preserve">VND-012</t>
  </si>
  <si>
    <t xml:space="preserve">911 GT3</t>
  </si>
  <si>
    <t xml:space="preserve">VND-013</t>
  </si>
  <si>
    <t xml:space="preserve">Panamera Turbo S</t>
  </si>
  <si>
    <t xml:space="preserve">VND-014</t>
  </si>
  <si>
    <t xml:space="preserve">Cayenne Turbo GT</t>
  </si>
  <si>
    <t xml:space="preserve">VND-015</t>
  </si>
  <si>
    <t xml:space="preserve">911 Carrera Cabriolet</t>
  </si>
  <si>
    <t xml:space="preserve">VND-016</t>
  </si>
  <si>
    <t xml:space="preserve">VND-017</t>
  </si>
  <si>
    <t xml:space="preserve">718 Spyder RS</t>
  </si>
  <si>
    <t xml:space="preserve">VND-018</t>
  </si>
  <si>
    <t xml:space="preserve">Taycan Cross Turismo</t>
  </si>
  <si>
    <t xml:space="preserve">VND-019</t>
  </si>
  <si>
    <t xml:space="preserve">Cayenne S</t>
  </si>
  <si>
    <t xml:space="preserve">VND-020</t>
  </si>
  <si>
    <t xml:space="preserve">911 Targa 4S</t>
  </si>
  <si>
    <t xml:space="preserve">VND-021</t>
  </si>
  <si>
    <t xml:space="preserve">VND-022</t>
  </si>
  <si>
    <t xml:space="preserve">Macan Electric</t>
  </si>
  <si>
    <t xml:space="preserve">VND-023</t>
  </si>
  <si>
    <t xml:space="preserve">911 Dakar</t>
  </si>
  <si>
    <t xml:space="preserve">Salvador</t>
  </si>
  <si>
    <t xml:space="preserve">VND-024</t>
  </si>
  <si>
    <t xml:space="preserve">Taycan GTS</t>
  </si>
  <si>
    <t xml:space="preserve">VND-025</t>
  </si>
  <si>
    <t xml:space="preserve">VND-026</t>
  </si>
  <si>
    <t xml:space="preserve">718 Cayman GT4 RS</t>
  </si>
  <si>
    <t xml:space="preserve">VND-027</t>
  </si>
  <si>
    <t xml:space="preserve">911 Carrera GTS</t>
  </si>
  <si>
    <t xml:space="preserve">VND-028</t>
  </si>
  <si>
    <t xml:space="preserve">Panamera 4 E-Hybrid</t>
  </si>
  <si>
    <t xml:space="preserve">VND-029</t>
  </si>
  <si>
    <t xml:space="preserve">Macan T</t>
  </si>
  <si>
    <t xml:space="preserve">Ribeirão Preto</t>
  </si>
  <si>
    <t xml:space="preserve">VND-030</t>
  </si>
  <si>
    <t xml:space="preserve">Taycan Turbo S</t>
  </si>
  <si>
    <t xml:space="preserve">VND-031</t>
  </si>
  <si>
    <t xml:space="preserve">911 Carrera</t>
  </si>
  <si>
    <t xml:space="preserve">Curitiba</t>
  </si>
  <si>
    <t xml:space="preserve">VND-032</t>
  </si>
  <si>
    <t xml:space="preserve">VND-033</t>
  </si>
  <si>
    <t xml:space="preserve">VND-034</t>
  </si>
  <si>
    <t xml:space="preserve">VND-035</t>
  </si>
  <si>
    <t xml:space="preserve">Panamera 4S</t>
  </si>
  <si>
    <t xml:space="preserve">VND-036</t>
  </si>
  <si>
    <t xml:space="preserve">VND-037</t>
  </si>
  <si>
    <t xml:space="preserve">911 Turbo</t>
  </si>
  <si>
    <t xml:space="preserve">VND-038</t>
  </si>
  <si>
    <t xml:space="preserve">VND-039</t>
  </si>
  <si>
    <t xml:space="preserve">VND-040</t>
  </si>
  <si>
    <t xml:space="preserve">VND-041</t>
  </si>
  <si>
    <t xml:space="preserve">Panamera Turbo</t>
  </si>
  <si>
    <t xml:space="preserve">VND-042</t>
  </si>
  <si>
    <t xml:space="preserve">911 GT3 RS</t>
  </si>
  <si>
    <t xml:space="preserve">VND-043</t>
  </si>
  <si>
    <t xml:space="preserve">VND-044</t>
  </si>
  <si>
    <t xml:space="preserve">VND-045</t>
  </si>
  <si>
    <t xml:space="preserve">VND-046</t>
  </si>
  <si>
    <t xml:space="preserve">VND-047</t>
  </si>
  <si>
    <t xml:space="preserve">911 Targa 4</t>
  </si>
  <si>
    <t xml:space="preserve">VND-048</t>
  </si>
  <si>
    <t xml:space="preserve">VND-049</t>
  </si>
  <si>
    <t xml:space="preserve">Cayenne Turbo</t>
  </si>
  <si>
    <t xml:space="preserve">VND-050</t>
  </si>
  <si>
    <t xml:space="preserve">VND-051</t>
  </si>
  <si>
    <t xml:space="preserve">VND-052</t>
  </si>
  <si>
    <t xml:space="preserve">VND-053</t>
  </si>
  <si>
    <t xml:space="preserve">VND-054</t>
  </si>
  <si>
    <t xml:space="preserve">VND-055</t>
  </si>
  <si>
    <t xml:space="preserve">VND-056</t>
  </si>
  <si>
    <t xml:space="preserve">VND-057</t>
  </si>
  <si>
    <t xml:space="preserve">VND-058</t>
  </si>
  <si>
    <t xml:space="preserve">VND-059</t>
  </si>
  <si>
    <t xml:space="preserve">VND-060</t>
  </si>
  <si>
    <t xml:space="preserve">VND-061</t>
  </si>
  <si>
    <t xml:space="preserve">VND-062</t>
  </si>
  <si>
    <t xml:space="preserve">VND-063</t>
  </si>
  <si>
    <t xml:space="preserve">VND-064</t>
  </si>
  <si>
    <t xml:space="preserve">VND-065</t>
  </si>
  <si>
    <t xml:space="preserve">VND-066</t>
  </si>
  <si>
    <t xml:space="preserve">VND-067</t>
  </si>
  <si>
    <t xml:space="preserve">718 Boxster GTS</t>
  </si>
  <si>
    <t xml:space="preserve">VND-068</t>
  </si>
  <si>
    <t xml:space="preserve">VND-069</t>
  </si>
  <si>
    <t xml:space="preserve">VND-070</t>
  </si>
  <si>
    <t xml:space="preserve">VND-071</t>
  </si>
  <si>
    <t xml:space="preserve">VND-072</t>
  </si>
  <si>
    <t xml:space="preserve">VND-073</t>
  </si>
  <si>
    <t xml:space="preserve">718 Cayman S</t>
  </si>
  <si>
    <t xml:space="preserve">VND-074</t>
  </si>
  <si>
    <t xml:space="preserve">VND-075</t>
  </si>
  <si>
    <t xml:space="preserve">VND-076</t>
  </si>
  <si>
    <t xml:space="preserve">VND-077</t>
  </si>
  <si>
    <t xml:space="preserve">VND-078</t>
  </si>
  <si>
    <t xml:space="preserve">VND-079</t>
  </si>
  <si>
    <t xml:space="preserve">VND-080</t>
  </si>
  <si>
    <t xml:space="preserve">VND-081</t>
  </si>
  <si>
    <t xml:space="preserve">VND-082</t>
  </si>
  <si>
    <t xml:space="preserve">VND-083</t>
  </si>
  <si>
    <t xml:space="preserve">VND-084</t>
  </si>
  <si>
    <t xml:space="preserve">VND-085</t>
  </si>
  <si>
    <t xml:space="preserve">VND-086</t>
  </si>
  <si>
    <t xml:space="preserve">VND-087</t>
  </si>
  <si>
    <t xml:space="preserve">VND-088</t>
  </si>
  <si>
    <t xml:space="preserve">VND-089</t>
  </si>
  <si>
    <t xml:space="preserve">VND-090</t>
  </si>
  <si>
    <t xml:space="preserve">VND-091</t>
  </si>
  <si>
    <t xml:space="preserve">VND-092</t>
  </si>
  <si>
    <t xml:space="preserve">VND-093</t>
  </si>
  <si>
    <t xml:space="preserve">VND-094</t>
  </si>
  <si>
    <t xml:space="preserve">VND-095</t>
  </si>
  <si>
    <t xml:space="preserve">VND-096</t>
  </si>
  <si>
    <t xml:space="preserve">VND-097</t>
  </si>
  <si>
    <t xml:space="preserve">VND-098</t>
  </si>
  <si>
    <t xml:space="preserve">VND-099</t>
  </si>
  <si>
    <t xml:space="preserve">VND-100</t>
  </si>
  <si>
    <t xml:space="preserve">Premissas de preço</t>
  </si>
  <si>
    <t xml:space="preserve">Preço público sugerido de entrada por linha, Brasil, fev/2026</t>
  </si>
  <si>
    <t xml:space="preserve">Preço de entrada (R$)</t>
  </si>
  <si>
    <t xml:space="preserve">Fonte: Vrum / Estado de Minas, fev/2026 (link na aba Leia-me). Edite as células amarelas para simular outra tabela de preços.</t>
  </si>
  <si>
    <t xml:space="preserve">Dicionário de dados — aba Vendas</t>
  </si>
  <si>
    <t xml:space="preserve">Coluna</t>
  </si>
  <si>
    <t xml:space="preserve">Tipo</t>
  </si>
  <si>
    <t xml:space="preserve">Descrição / regra</t>
  </si>
  <si>
    <t xml:space="preserve">Texto</t>
  </si>
  <si>
    <t xml:space="preserve">Identificador único da venda (VND-001 a VND-100).</t>
  </si>
  <si>
    <t xml:space="preserve">Versão do modelo vendida, ex.: 911 Carrera S.</t>
  </si>
  <si>
    <t xml:space="preserve">Família do modelo: 911, 718, Taycan, Panamera, Cayenne, Macan.</t>
  </si>
  <si>
    <t xml:space="preserve">Derivado da linha: Esportivo (911, 718), Sedã / GT (Taycan, Panamera), SUV (Cayenne, Macan).</t>
  </si>
  <si>
    <t xml:space="preserve">Derivado da versão: Elétrico (Taycan, Macan Electric), Híbrido (E-Hybrid), Combustão (demais).</t>
  </si>
  <si>
    <t xml:space="preserve">Ano da venda (2020–2026).</t>
  </si>
  <si>
    <t xml:space="preserve">Cidade do Porsche Center que fez a venda.</t>
  </si>
  <si>
    <t xml:space="preserve">Sigla do estado.</t>
  </si>
  <si>
    <t xml:space="preserve">Região do IBGE.</t>
  </si>
  <si>
    <t xml:space="preserve">Pix, TED, Boleto, Dinheiro, Cartão de crédito, Cartão de débito, Financiamento, Leasing, Criptomoeda.</t>
  </si>
  <si>
    <t xml:space="preserve">Número</t>
  </si>
  <si>
    <t xml:space="preserve">Preço da versão ÷ preço da versão mais barata da linha na tabela original.</t>
  </si>
  <si>
    <t xml:space="preserve">Moeda</t>
  </si>
  <si>
    <t xml:space="preserve">Fórmula: preço de entrada da linha (Premissas) × fator de versão, arredondado a R$ 1.000.</t>
  </si>
  <si>
    <t xml:space="preserve">Fórmula: Até R$ 1 mi · R$ 1–1,5 mi · R$ 1,5–2 mi · Acima de R$ 2 mi.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</si>
</sst>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;&quot;(R$ &quot;#,##0\);\-"/>
    <numFmt numFmtId="166" formatCode="#,##0"/>
    <numFmt numFmtId="167" formatCode="0"/>
    <numFmt numFmtId="168" formatCode="0.0%"/>
    <numFmt numFmtId="169" formatCode="0.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1"/>
      <color rgb="FFC8102E"/>
      <name val="Arial"/>
      <family val="0"/>
      <charset val="1"/>
    </font>
    <font>
      <b val="true"/>
      <sz val="12"/>
      <color rgb="FFC8102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C1C1F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C1C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Vendas" displayName="tbVendas" ref="A1:M101" headerRowCount="1" totalsRowCount="0" totalsRowShown="0">
  <autoFilter ref="A1:M101"/>
  <tableColumns count="13">
    <tableColumn id="1" name="ID"/>
    <tableColumn id="2" name="Versão"/>
    <tableColumn id="3" name="Linha"/>
    <tableColumn id="4" name="Segmento"/>
    <tableColumn id="5" name="Propulsão"/>
    <tableColumn id="6" name="Ano"/>
    <tableColumn id="7" name="Cidade"/>
    <tableColumn id="8" name="UF"/>
    <tableColumn id="9" name="Região"/>
    <tableColumn id="10" name="Forma de pagamento"/>
    <tableColumn id="11" name="Fator de versão"/>
    <tableColumn id="12" name="Valor (R$)"/>
    <tableColumn id="13" name="Faixa de preç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5" t="s">
        <v>4</v>
      </c>
      <c r="C8" s="6" t="s">
        <v>5</v>
      </c>
    </row>
    <row r="9" customFormat="false" ht="15" hidden="false" customHeight="false" outlineLevel="0" collapsed="false">
      <c r="B9" s="5" t="s">
        <v>6</v>
      </c>
      <c r="C9" s="6" t="s">
        <v>7</v>
      </c>
    </row>
    <row r="10" customFormat="false" ht="15" hidden="false" customHeight="false" outlineLevel="0" collapsed="false">
      <c r="B10" s="5" t="s">
        <v>8</v>
      </c>
      <c r="C10" s="6" t="s">
        <v>9</v>
      </c>
    </row>
    <row r="11" customFormat="false" ht="15" hidden="false" customHeight="false" outlineLevel="0" collapsed="false">
      <c r="B11" s="5" t="s">
        <v>10</v>
      </c>
      <c r="C11" s="6" t="s">
        <v>11</v>
      </c>
    </row>
    <row r="12" customFormat="false" ht="15" hidden="false" customHeight="false" outlineLevel="0" collapsed="false">
      <c r="B12" s="5"/>
      <c r="C12" s="6"/>
    </row>
    <row r="13" customFormat="false" ht="15" hidden="false" customHeight="false" outlineLevel="0" collapsed="false">
      <c r="B13" s="4" t="s">
        <v>12</v>
      </c>
    </row>
    <row r="14" customFormat="false" ht="15" hidden="false" customHeight="false" outlineLevel="0" collapsed="false">
      <c r="B14" s="5" t="s">
        <v>13</v>
      </c>
      <c r="C14" s="6" t="s">
        <v>14</v>
      </c>
    </row>
    <row r="15" customFormat="false" ht="23.85" hidden="false" customHeight="false" outlineLevel="0" collapsed="false">
      <c r="B15" s="5" t="s">
        <v>15</v>
      </c>
      <c r="C15" s="6" t="s">
        <v>16</v>
      </c>
    </row>
    <row r="16" customFormat="false" ht="23.85" hidden="false" customHeight="false" outlineLevel="0" collapsed="false">
      <c r="B16" s="5" t="s">
        <v>17</v>
      </c>
      <c r="C16" s="6" t="s">
        <v>18</v>
      </c>
    </row>
    <row r="17" customFormat="false" ht="23.85" hidden="false" customHeight="false" outlineLevel="0" collapsed="false">
      <c r="B17" s="5" t="s">
        <v>19</v>
      </c>
      <c r="C17" s="6" t="s">
        <v>20</v>
      </c>
    </row>
    <row r="18" customFormat="false" ht="15" hidden="false" customHeight="false" outlineLevel="0" collapsed="false">
      <c r="B18" s="5" t="s">
        <v>21</v>
      </c>
      <c r="C18" s="6" t="s">
        <v>22</v>
      </c>
    </row>
    <row r="19" customFormat="false" ht="15" hidden="false" customHeight="false" outlineLevel="0" collapsed="false">
      <c r="B19" s="5"/>
      <c r="C19" s="6"/>
    </row>
    <row r="20" customFormat="false" ht="15" hidden="false" customHeight="false" outlineLevel="0" collapsed="false">
      <c r="B20" s="4" t="s">
        <v>23</v>
      </c>
    </row>
    <row r="21" customFormat="false" ht="35.05" hidden="false" customHeight="false" outlineLevel="0" collapsed="false">
      <c r="B21" s="5" t="s">
        <v>24</v>
      </c>
      <c r="C21" s="6" t="s">
        <v>25</v>
      </c>
    </row>
    <row r="22" customFormat="false" ht="15" hidden="false" customHeight="false" outlineLevel="0" collapsed="false">
      <c r="B22" s="5" t="s">
        <v>26</v>
      </c>
      <c r="C22" s="6" t="s">
        <v>27</v>
      </c>
    </row>
    <row r="23" customFormat="false" ht="15" hidden="false" customHeight="false" outlineLevel="0" collapsed="false">
      <c r="B23" s="5" t="s">
        <v>28</v>
      </c>
      <c r="C23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3"/>
    <col collapsed="false" customWidth="true" hidden="false" outlineLevel="0" max="8" min="8" style="0" width="20"/>
    <col collapsed="false" customWidth="true" hidden="false" outlineLevel="0" max="9" min="9" style="0" width="8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3" min="13" style="0" width="3"/>
  </cols>
  <sheetData>
    <row r="2" customFormat="false" ht="19.7" hidden="false" customHeight="false" outlineLevel="0" collapsed="false">
      <c r="B2" s="7" t="s">
        <v>30</v>
      </c>
    </row>
    <row r="3" customFormat="false" ht="15" hidden="false" customHeight="false" outlineLevel="0" collapsed="false">
      <c r="B3" s="2" t="s">
        <v>31</v>
      </c>
    </row>
    <row r="6" customFormat="false" ht="15" hidden="false" customHeight="false" outlineLevel="0" collapsed="false">
      <c r="B6" s="8" t="s">
        <v>32</v>
      </c>
      <c r="C6" s="9" t="n">
        <f aca="false">SUM(Vendas!L2:L101)</f>
        <v>130989000</v>
      </c>
    </row>
    <row r="7" customFormat="false" ht="15" hidden="false" customHeight="false" outlineLevel="0" collapsed="false">
      <c r="B7" s="8" t="s">
        <v>33</v>
      </c>
      <c r="C7" s="10" t="n">
        <f aca="false">COUNTA(Vendas!A2:A101)</f>
        <v>100</v>
      </c>
    </row>
    <row r="8" customFormat="false" ht="15" hidden="false" customHeight="false" outlineLevel="0" collapsed="false">
      <c r="B8" s="8" t="s">
        <v>34</v>
      </c>
      <c r="C8" s="9" t="n">
        <f aca="false">IF(C7=0,0,C6/C7)</f>
        <v>1309890</v>
      </c>
    </row>
    <row r="9" customFormat="false" ht="15" hidden="false" customHeight="false" outlineLevel="0" collapsed="false">
      <c r="B9" s="8" t="s">
        <v>35</v>
      </c>
      <c r="C9" s="9" t="n">
        <f aca="false">MEDIAN(Vendas!L2:L101)</f>
        <v>1076500</v>
      </c>
    </row>
    <row r="10" customFormat="false" ht="15" hidden="false" customHeight="false" outlineLevel="0" collapsed="false">
      <c r="B10" s="8" t="s">
        <v>36</v>
      </c>
      <c r="C10" s="9" t="n">
        <f aca="false">MAX(Vendas!L2:L101)</f>
        <v>2916000</v>
      </c>
    </row>
    <row r="11" customFormat="false" ht="15" hidden="false" customHeight="false" outlineLevel="0" collapsed="false">
      <c r="B11" s="8" t="s">
        <v>37</v>
      </c>
      <c r="C11" s="11" t="n">
        <f aca="false">SUMPRODUCT(1/COUNTIF(Vendas!B2:B101,Vendas!B2:B101))</f>
        <v>40</v>
      </c>
    </row>
    <row r="14" customFormat="false" ht="15" hidden="false" customHeight="false" outlineLevel="0" collapsed="false">
      <c r="B14" s="4" t="s">
        <v>38</v>
      </c>
      <c r="H14" s="4" t="s">
        <v>39</v>
      </c>
    </row>
    <row r="15" customFormat="false" ht="15" hidden="false" customHeight="false" outlineLevel="0" collapsed="false">
      <c r="B15" s="12" t="s">
        <v>40</v>
      </c>
      <c r="C15" s="12" t="s">
        <v>41</v>
      </c>
      <c r="D15" s="12" t="s">
        <v>42</v>
      </c>
      <c r="E15" s="12" t="s">
        <v>43</v>
      </c>
      <c r="F15" s="12" t="s">
        <v>34</v>
      </c>
      <c r="H15" s="12" t="s">
        <v>44</v>
      </c>
      <c r="I15" s="12" t="s">
        <v>41</v>
      </c>
      <c r="J15" s="12" t="s">
        <v>42</v>
      </c>
      <c r="K15" s="12" t="s">
        <v>43</v>
      </c>
      <c r="L15" s="12" t="s">
        <v>34</v>
      </c>
    </row>
    <row r="16" customFormat="false" ht="15" hidden="false" customHeight="false" outlineLevel="0" collapsed="false">
      <c r="B16" s="13" t="s">
        <v>45</v>
      </c>
      <c r="C16" s="13" t="n">
        <f aca="false">COUNTIF(Vendas!$C$2:$C$101,B16)</f>
        <v>23</v>
      </c>
      <c r="D16" s="14" t="n">
        <f aca="false">SUMIF(Vendas!$C$2:$C$101,B16,Vendas!$L$2:$L$101)</f>
        <v>43482000</v>
      </c>
      <c r="E16" s="15" t="n">
        <f aca="false">IF($C$6=0,0,D16/$C$6)</f>
        <v>0.331951537915398</v>
      </c>
      <c r="F16" s="14" t="n">
        <f aca="false">IF(C16=0,0,D16/C16)</f>
        <v>1890521.73913043</v>
      </c>
      <c r="H16" s="13" t="s">
        <v>46</v>
      </c>
      <c r="I16" s="13" t="n">
        <f aca="false">COUNTIF(Vendas!$H$2:$H$101,H16)</f>
        <v>39</v>
      </c>
      <c r="J16" s="14" t="n">
        <f aca="false">SUMIF(Vendas!$H$2:$H$101,H16,Vendas!$L$2:$L$101)</f>
        <v>49654000</v>
      </c>
      <c r="K16" s="15" t="n">
        <f aca="false">IF($C$6=0,0,J16/$C$6)</f>
        <v>0.379069998244127</v>
      </c>
      <c r="L16" s="14" t="n">
        <f aca="false">IF(I16=0,0,J16/I16)</f>
        <v>1273179.48717949</v>
      </c>
    </row>
    <row r="17" customFormat="false" ht="15" hidden="false" customHeight="false" outlineLevel="0" collapsed="false">
      <c r="B17" s="13" t="s">
        <v>47</v>
      </c>
      <c r="C17" s="13" t="n">
        <f aca="false">COUNTIF(Vendas!$C$2:$C$101,B17)</f>
        <v>18</v>
      </c>
      <c r="D17" s="14" t="n">
        <f aca="false">SUMIF(Vendas!$C$2:$C$101,B17,Vendas!$L$2:$L$101)</f>
        <v>21924000</v>
      </c>
      <c r="E17" s="15" t="n">
        <f aca="false">IF($C$6=0,0,D17/$C$6)</f>
        <v>0.167372832833291</v>
      </c>
      <c r="F17" s="14" t="n">
        <f aca="false">IF(C17=0,0,D17/C17)</f>
        <v>1218000</v>
      </c>
      <c r="H17" s="13" t="s">
        <v>48</v>
      </c>
      <c r="I17" s="13" t="n">
        <f aca="false">COUNTIF(Vendas!$H$2:$H$101,H17)</f>
        <v>10</v>
      </c>
      <c r="J17" s="14" t="n">
        <f aca="false">SUMIF(Vendas!$H$2:$H$101,H17,Vendas!$L$2:$L$101)</f>
        <v>12220000</v>
      </c>
      <c r="K17" s="15" t="n">
        <f aca="false">IF($C$6=0,0,J17/$C$6)</f>
        <v>0.0932902762827413</v>
      </c>
      <c r="L17" s="14" t="n">
        <f aca="false">IF(I17=0,0,J17/I17)</f>
        <v>1222000</v>
      </c>
    </row>
    <row r="18" customFormat="false" ht="15" hidden="false" customHeight="false" outlineLevel="0" collapsed="false">
      <c r="B18" s="13" t="s">
        <v>49</v>
      </c>
      <c r="C18" s="13" t="n">
        <f aca="false">COUNTIF(Vendas!$C$2:$C$101,B18)</f>
        <v>14</v>
      </c>
      <c r="D18" s="14" t="n">
        <f aca="false">SUMIF(Vendas!$C$2:$C$101,B18,Vendas!$L$2:$L$101)</f>
        <v>20120000</v>
      </c>
      <c r="E18" s="15" t="n">
        <f aca="false">IF($C$6=0,0,D18/$C$6)</f>
        <v>0.153600684026903</v>
      </c>
      <c r="F18" s="14" t="n">
        <f aca="false">IF(C18=0,0,D18/C18)</f>
        <v>1437142.85714286</v>
      </c>
      <c r="H18" s="13" t="s">
        <v>50</v>
      </c>
      <c r="I18" s="13" t="n">
        <f aca="false">COUNTIF(Vendas!$H$2:$H$101,H18)</f>
        <v>8</v>
      </c>
      <c r="J18" s="14" t="n">
        <f aca="false">SUMIF(Vendas!$H$2:$H$101,H18,Vendas!$L$2:$L$101)</f>
        <v>9848000</v>
      </c>
      <c r="K18" s="15" t="n">
        <f aca="false">IF($C$6=0,0,J18/$C$6)</f>
        <v>0.075181885501836</v>
      </c>
      <c r="L18" s="14" t="n">
        <f aca="false">IF(I18=0,0,J18/I18)</f>
        <v>1231000</v>
      </c>
    </row>
    <row r="19" customFormat="false" ht="15" hidden="false" customHeight="false" outlineLevel="0" collapsed="false">
      <c r="B19" s="13" t="s">
        <v>51</v>
      </c>
      <c r="C19" s="13" t="n">
        <f aca="false">COUNTIF(Vendas!$C$2:$C$101,B19)</f>
        <v>16</v>
      </c>
      <c r="D19" s="14" t="n">
        <f aca="false">SUMIF(Vendas!$C$2:$C$101,B19,Vendas!$L$2:$L$101)</f>
        <v>16977000</v>
      </c>
      <c r="E19" s="15" t="n">
        <f aca="false">IF($C$6=0,0,D19/$C$6)</f>
        <v>0.129606302819321</v>
      </c>
      <c r="F19" s="14" t="n">
        <f aca="false">IF(C19=0,0,D19/C19)</f>
        <v>1061062.5</v>
      </c>
      <c r="H19" s="13" t="s">
        <v>52</v>
      </c>
      <c r="I19" s="13" t="n">
        <f aca="false">COUNTIF(Vendas!$H$2:$H$101,H19)</f>
        <v>8</v>
      </c>
      <c r="J19" s="14" t="n">
        <f aca="false">SUMIF(Vendas!$H$2:$H$101,H19,Vendas!$L$2:$L$101)</f>
        <v>9567000</v>
      </c>
      <c r="K19" s="15" t="n">
        <f aca="false">IF($C$6=0,0,J19/$C$6)</f>
        <v>0.0730366672010627</v>
      </c>
      <c r="L19" s="14" t="n">
        <f aca="false">IF(I19=0,0,J19/I19)</f>
        <v>1195875</v>
      </c>
    </row>
    <row r="20" customFormat="false" ht="15" hidden="false" customHeight="false" outlineLevel="0" collapsed="false">
      <c r="B20" s="13" t="s">
        <v>53</v>
      </c>
      <c r="C20" s="13" t="n">
        <f aca="false">COUNTIF(Vendas!$C$2:$C$101,B20)</f>
        <v>12</v>
      </c>
      <c r="D20" s="14" t="n">
        <f aca="false">SUMIF(Vendas!$C$2:$C$101,B20,Vendas!$L$2:$L$101)</f>
        <v>15308000</v>
      </c>
      <c r="E20" s="15" t="n">
        <f aca="false">IF($C$6=0,0,D20/$C$6)</f>
        <v>0.116864774904763</v>
      </c>
      <c r="F20" s="14" t="n">
        <f aca="false">IF(C20=0,0,D20/C20)</f>
        <v>1275666.66666667</v>
      </c>
      <c r="H20" s="13" t="s">
        <v>54</v>
      </c>
      <c r="I20" s="13" t="n">
        <f aca="false">COUNTIF(Vendas!$H$2:$H$101,H20)</f>
        <v>7</v>
      </c>
      <c r="J20" s="14" t="n">
        <f aca="false">SUMIF(Vendas!$H$2:$H$101,H20,Vendas!$L$2:$L$101)</f>
        <v>9116000</v>
      </c>
      <c r="K20" s="15" t="n">
        <f aca="false">IF($C$6=0,0,J20/$C$6)</f>
        <v>0.0695936299994656</v>
      </c>
      <c r="L20" s="14" t="n">
        <f aca="false">IF(I20=0,0,J20/I20)</f>
        <v>1302285.71428571</v>
      </c>
    </row>
    <row r="21" customFormat="false" ht="15" hidden="false" customHeight="false" outlineLevel="0" collapsed="false">
      <c r="B21" s="13" t="s">
        <v>55</v>
      </c>
      <c r="C21" s="13" t="n">
        <f aca="false">COUNTIF(Vendas!$C$2:$C$101,B21)</f>
        <v>17</v>
      </c>
      <c r="D21" s="14" t="n">
        <f aca="false">SUMIF(Vendas!$C$2:$C$101,B21,Vendas!$L$2:$L$101)</f>
        <v>13178000</v>
      </c>
      <c r="E21" s="15" t="n">
        <f aca="false">IF($C$6=0,0,D21/$C$6)</f>
        <v>0.100603867500324</v>
      </c>
      <c r="F21" s="14" t="n">
        <f aca="false">IF(C21=0,0,D21/C21)</f>
        <v>775176.470588235</v>
      </c>
      <c r="H21" s="13" t="s">
        <v>56</v>
      </c>
      <c r="I21" s="13" t="n">
        <f aca="false">COUNTIF(Vendas!$H$2:$H$101,H21)</f>
        <v>7</v>
      </c>
      <c r="J21" s="14" t="n">
        <f aca="false">SUMIF(Vendas!$H$2:$H$101,H21,Vendas!$L$2:$L$101)</f>
        <v>9393000</v>
      </c>
      <c r="K21" s="15" t="n">
        <f aca="false">IF($C$6=0,0,J21/$C$6)</f>
        <v>0.0717083113849255</v>
      </c>
      <c r="L21" s="14" t="n">
        <f aca="false">IF(I21=0,0,J21/I21)</f>
        <v>1341857.14285714</v>
      </c>
    </row>
    <row r="22" customFormat="false" ht="15" hidden="false" customHeight="false" outlineLevel="0" collapsed="false">
      <c r="H22" s="13" t="s">
        <v>57</v>
      </c>
      <c r="I22" s="13" t="n">
        <f aca="false">COUNTIF(Vendas!$H$2:$H$101,H22)</f>
        <v>6</v>
      </c>
      <c r="J22" s="14" t="n">
        <f aca="false">SUMIF(Vendas!$H$2:$H$101,H22,Vendas!$L$2:$L$101)</f>
        <v>6898000</v>
      </c>
      <c r="K22" s="15" t="n">
        <f aca="false">IF($C$6=0,0,J22/$C$6)</f>
        <v>0.0526609104581301</v>
      </c>
      <c r="L22" s="14" t="n">
        <f aca="false">IF(I22=0,0,J22/I22)</f>
        <v>1149666.66666667</v>
      </c>
    </row>
    <row r="23" customFormat="false" ht="15" hidden="false" customHeight="false" outlineLevel="0" collapsed="false">
      <c r="B23" s="4" t="s">
        <v>58</v>
      </c>
      <c r="H23" s="13" t="s">
        <v>59</v>
      </c>
      <c r="I23" s="13" t="n">
        <f aca="false">COUNTIF(Vendas!$H$2:$H$101,H23)</f>
        <v>5</v>
      </c>
      <c r="J23" s="14" t="n">
        <f aca="false">SUMIF(Vendas!$H$2:$H$101,H23,Vendas!$L$2:$L$101)</f>
        <v>8093000</v>
      </c>
      <c r="K23" s="15" t="n">
        <f aca="false">IF($C$6=0,0,J23/$C$6)</f>
        <v>0.0617838139080381</v>
      </c>
      <c r="L23" s="14" t="n">
        <f aca="false">IF(I23=0,0,J23/I23)</f>
        <v>1618600</v>
      </c>
    </row>
    <row r="24" customFormat="false" ht="15" hidden="false" customHeight="false" outlineLevel="0" collapsed="false">
      <c r="B24" s="12" t="s">
        <v>60</v>
      </c>
      <c r="C24" s="12" t="s">
        <v>41</v>
      </c>
      <c r="D24" s="12" t="s">
        <v>42</v>
      </c>
      <c r="E24" s="12" t="s">
        <v>43</v>
      </c>
      <c r="F24" s="12" t="s">
        <v>34</v>
      </c>
      <c r="H24" s="13" t="s">
        <v>61</v>
      </c>
      <c r="I24" s="13" t="n">
        <f aca="false">COUNTIF(Vendas!$H$2:$H$101,H24)</f>
        <v>4</v>
      </c>
      <c r="J24" s="14" t="n">
        <f aca="false">SUMIF(Vendas!$H$2:$H$101,H24,Vendas!$L$2:$L$101)</f>
        <v>6254000</v>
      </c>
      <c r="K24" s="15" t="n">
        <f aca="false">IF($C$6=0,0,J24/$C$6)</f>
        <v>0.0477444670926566</v>
      </c>
      <c r="L24" s="14" t="n">
        <f aca="false">IF(I24=0,0,J24/I24)</f>
        <v>1563500</v>
      </c>
    </row>
    <row r="25" customFormat="false" ht="15" hidden="false" customHeight="false" outlineLevel="0" collapsed="false">
      <c r="B25" s="13" t="s">
        <v>62</v>
      </c>
      <c r="C25" s="13" t="n">
        <f aca="false">COUNTIF(Vendas!$D$2:$D$101,B25)</f>
        <v>35</v>
      </c>
      <c r="D25" s="14" t="n">
        <f aca="false">SUMIF(Vendas!$D$2:$D$101,B25,Vendas!$L$2:$L$101)</f>
        <v>58790000</v>
      </c>
      <c r="E25" s="15" t="n">
        <f aca="false">IF($C$6=0,0,D25/$C$6)</f>
        <v>0.448816312820161</v>
      </c>
      <c r="F25" s="14" t="n">
        <f aca="false">IF(C25=0,0,D25/C25)</f>
        <v>1679714.28571429</v>
      </c>
      <c r="H25" s="13" t="s">
        <v>63</v>
      </c>
      <c r="I25" s="13" t="n">
        <f aca="false">COUNTIF(Vendas!$H$2:$H$101,H25)</f>
        <v>3</v>
      </c>
      <c r="J25" s="14" t="n">
        <f aca="false">SUMIF(Vendas!$H$2:$H$101,H25,Vendas!$L$2:$L$101)</f>
        <v>4620000</v>
      </c>
      <c r="K25" s="15" t="n">
        <f aca="false">IF($C$6=0,0,J25/$C$6)</f>
        <v>0.035270137187092</v>
      </c>
      <c r="L25" s="14" t="n">
        <f aca="false">IF(I25=0,0,J25/I25)</f>
        <v>1540000</v>
      </c>
    </row>
    <row r="26" customFormat="false" ht="15" hidden="false" customHeight="false" outlineLevel="0" collapsed="false">
      <c r="B26" s="13" t="s">
        <v>64</v>
      </c>
      <c r="C26" s="13" t="n">
        <f aca="false">COUNTIF(Vendas!$D$2:$D$101,B26)</f>
        <v>30</v>
      </c>
      <c r="D26" s="14" t="n">
        <f aca="false">SUMIF(Vendas!$D$2:$D$101,B26,Vendas!$L$2:$L$101)</f>
        <v>37097000</v>
      </c>
      <c r="E26" s="15" t="n">
        <f aca="false">IF($C$6=0,0,D26/$C$6)</f>
        <v>0.283206986846224</v>
      </c>
      <c r="F26" s="14" t="n">
        <f aca="false">IF(C26=0,0,D26/C26)</f>
        <v>1236566.66666667</v>
      </c>
      <c r="H26" s="13" t="s">
        <v>65</v>
      </c>
      <c r="I26" s="13" t="n">
        <f aca="false">COUNTIF(Vendas!$H$2:$H$101,H26)</f>
        <v>3</v>
      </c>
      <c r="J26" s="14" t="n">
        <f aca="false">SUMIF(Vendas!$H$2:$H$101,H26,Vendas!$L$2:$L$101)</f>
        <v>5326000</v>
      </c>
      <c r="K26" s="15" t="n">
        <f aca="false">IF($C$6=0,0,J26/$C$6)</f>
        <v>0.0406599027399247</v>
      </c>
      <c r="L26" s="14" t="n">
        <f aca="false">IF(I26=0,0,J26/I26)</f>
        <v>1775333.33333333</v>
      </c>
    </row>
    <row r="27" customFormat="false" ht="15" hidden="false" customHeight="false" outlineLevel="0" collapsed="false">
      <c r="B27" s="13" t="s">
        <v>66</v>
      </c>
      <c r="C27" s="13" t="n">
        <f aca="false">COUNTIF(Vendas!$D$2:$D$101,B27)</f>
        <v>35</v>
      </c>
      <c r="D27" s="14" t="n">
        <f aca="false">SUMIF(Vendas!$D$2:$D$101,B27,Vendas!$L$2:$L$101)</f>
        <v>35102000</v>
      </c>
      <c r="E27" s="15" t="n">
        <f aca="false">IF($C$6=0,0,D27/$C$6)</f>
        <v>0.267976700333616</v>
      </c>
      <c r="F27" s="14" t="n">
        <f aca="false">IF(C27=0,0,D27/C27)</f>
        <v>1002914.28571429</v>
      </c>
    </row>
    <row r="28" customFormat="false" ht="15" hidden="false" customHeight="false" outlineLevel="0" collapsed="false">
      <c r="H28" s="4" t="s">
        <v>67</v>
      </c>
    </row>
    <row r="29" customFormat="false" ht="15" hidden="false" customHeight="false" outlineLevel="0" collapsed="false">
      <c r="B29" s="4" t="s">
        <v>68</v>
      </c>
      <c r="H29" s="12" t="s">
        <v>69</v>
      </c>
      <c r="I29" s="12" t="s">
        <v>41</v>
      </c>
      <c r="J29" s="12" t="s">
        <v>42</v>
      </c>
      <c r="K29" s="12" t="s">
        <v>43</v>
      </c>
      <c r="L29" s="12" t="s">
        <v>34</v>
      </c>
    </row>
    <row r="30" customFormat="false" ht="15" hidden="false" customHeight="false" outlineLevel="0" collapsed="false">
      <c r="B30" s="12" t="s">
        <v>70</v>
      </c>
      <c r="C30" s="12" t="s">
        <v>41</v>
      </c>
      <c r="D30" s="12" t="s">
        <v>42</v>
      </c>
      <c r="E30" s="12" t="s">
        <v>43</v>
      </c>
      <c r="F30" s="12" t="s">
        <v>34</v>
      </c>
      <c r="H30" s="13" t="s">
        <v>71</v>
      </c>
      <c r="I30" s="13" t="n">
        <f aca="false">COUNTIF(Vendas!$I$2:$I$101,H30)</f>
        <v>57</v>
      </c>
      <c r="J30" s="14" t="n">
        <f aca="false">SUMIF(Vendas!$I$2:$I$101,H30,Vendas!$L$2:$L$101)</f>
        <v>71722000</v>
      </c>
      <c r="K30" s="15" t="n">
        <f aca="false">IF($C$6=0,0,J30/$C$6)</f>
        <v>0.547542160028705</v>
      </c>
      <c r="L30" s="14" t="n">
        <f aca="false">IF(I30=0,0,J30/I30)</f>
        <v>1258280.70175439</v>
      </c>
    </row>
    <row r="31" customFormat="false" ht="15" hidden="false" customHeight="false" outlineLevel="0" collapsed="false">
      <c r="B31" s="13" t="s">
        <v>72</v>
      </c>
      <c r="C31" s="13" t="n">
        <f aca="false">COUNTIF(Vendas!$E$2:$E$101,B31)</f>
        <v>74</v>
      </c>
      <c r="D31" s="14" t="n">
        <f aca="false">SUMIF(Vendas!$E$2:$E$101,B31,Vendas!$L$2:$L$101)</f>
        <v>103600000</v>
      </c>
      <c r="E31" s="15" t="n">
        <f aca="false">IF($C$6=0,0,D31/$C$6)</f>
        <v>0.79090610661964</v>
      </c>
      <c r="F31" s="14" t="n">
        <f aca="false">IF(C31=0,0,D31/C31)</f>
        <v>1400000</v>
      </c>
      <c r="H31" s="13" t="s">
        <v>73</v>
      </c>
      <c r="I31" s="13" t="n">
        <f aca="false">COUNTIF(Vendas!$I$2:$I$101,H31)</f>
        <v>20</v>
      </c>
      <c r="J31" s="14" t="n">
        <f aca="false">SUMIF(Vendas!$I$2:$I$101,H31,Vendas!$L$2:$L$101)</f>
        <v>25407000</v>
      </c>
      <c r="K31" s="15" t="n">
        <f aca="false">IF($C$6=0,0,J31/$C$6)</f>
        <v>0.193962851842521</v>
      </c>
      <c r="L31" s="14" t="n">
        <f aca="false">IF(I31=0,0,J31/I31)</f>
        <v>1270350</v>
      </c>
    </row>
    <row r="32" customFormat="false" ht="15" hidden="false" customHeight="false" outlineLevel="0" collapsed="false">
      <c r="B32" s="13" t="s">
        <v>74</v>
      </c>
      <c r="C32" s="13" t="n">
        <f aca="false">COUNTIF(Vendas!$E$2:$E$101,B32)</f>
        <v>6</v>
      </c>
      <c r="D32" s="14" t="n">
        <f aca="false">SUMIF(Vendas!$E$2:$E$101,B32,Vendas!$L$2:$L$101)</f>
        <v>6866000</v>
      </c>
      <c r="E32" s="15" t="n">
        <f aca="false">IF($C$6=0,0,D32/$C$6)</f>
        <v>0.0524166151356221</v>
      </c>
      <c r="F32" s="14" t="n">
        <f aca="false">IF(C32=0,0,D32/C32)</f>
        <v>1144333.33333333</v>
      </c>
      <c r="H32" s="13" t="s">
        <v>75</v>
      </c>
      <c r="I32" s="13" t="n">
        <f aca="false">COUNTIF(Vendas!$I$2:$I$101,H32)</f>
        <v>13</v>
      </c>
      <c r="J32" s="14" t="n">
        <f aca="false">SUMIF(Vendas!$I$2:$I$101,H32,Vendas!$L$2:$L$101)</f>
        <v>17660000</v>
      </c>
      <c r="K32" s="15" t="n">
        <f aca="false">IF($C$6=0,0,J32/$C$6)</f>
        <v>0.134820481109101</v>
      </c>
      <c r="L32" s="14" t="n">
        <f aca="false">IF(I32=0,0,J32/I32)</f>
        <v>1358461.53846154</v>
      </c>
    </row>
    <row r="33" customFormat="false" ht="15" hidden="false" customHeight="false" outlineLevel="0" collapsed="false">
      <c r="B33" s="13" t="s">
        <v>76</v>
      </c>
      <c r="C33" s="13" t="n">
        <f aca="false">COUNTIF(Vendas!$E$2:$E$101,B33)</f>
        <v>20</v>
      </c>
      <c r="D33" s="14" t="n">
        <f aca="false">SUMIF(Vendas!$E$2:$E$101,B33,Vendas!$L$2:$L$101)</f>
        <v>20523000</v>
      </c>
      <c r="E33" s="15" t="n">
        <f aca="false">IF($C$6=0,0,D33/$C$6)</f>
        <v>0.156677278244738</v>
      </c>
      <c r="F33" s="14" t="n">
        <f aca="false">IF(C33=0,0,D33/C33)</f>
        <v>1026150</v>
      </c>
      <c r="H33" s="13" t="s">
        <v>77</v>
      </c>
      <c r="I33" s="13" t="n">
        <f aca="false">COUNTIF(Vendas!$I$2:$I$101,H33)</f>
        <v>10</v>
      </c>
      <c r="J33" s="14" t="n">
        <f aca="false">SUMIF(Vendas!$I$2:$I$101,H33,Vendas!$L$2:$L$101)</f>
        <v>16200000</v>
      </c>
      <c r="K33" s="15" t="n">
        <f aca="false">IF($C$6=0,0,J33/$C$6)</f>
        <v>0.123674507019673</v>
      </c>
      <c r="L33" s="14" t="n">
        <f aca="false">IF(I33=0,0,J33/I33)</f>
        <v>1620000</v>
      </c>
    </row>
    <row r="35" customFormat="false" ht="15" hidden="false" customHeight="false" outlineLevel="0" collapsed="false">
      <c r="B35" s="4" t="s">
        <v>78</v>
      </c>
      <c r="H35" s="4" t="s">
        <v>79</v>
      </c>
    </row>
    <row r="36" customFormat="false" ht="15" hidden="false" customHeight="false" outlineLevel="0" collapsed="false">
      <c r="B36" s="12" t="s">
        <v>80</v>
      </c>
      <c r="C36" s="12" t="s">
        <v>41</v>
      </c>
      <c r="D36" s="12" t="s">
        <v>42</v>
      </c>
      <c r="E36" s="12" t="s">
        <v>43</v>
      </c>
      <c r="F36" s="12" t="s">
        <v>34</v>
      </c>
      <c r="H36" s="12" t="s">
        <v>81</v>
      </c>
      <c r="I36" s="12" t="s">
        <v>41</v>
      </c>
      <c r="J36" s="12" t="s">
        <v>42</v>
      </c>
      <c r="K36" s="12" t="s">
        <v>43</v>
      </c>
      <c r="L36" s="12" t="s">
        <v>34</v>
      </c>
    </row>
    <row r="37" customFormat="false" ht="15" hidden="false" customHeight="false" outlineLevel="0" collapsed="false">
      <c r="B37" s="13" t="s">
        <v>82</v>
      </c>
      <c r="C37" s="13" t="n">
        <f aca="false">COUNTIF(Vendas!$M$2:$M$101,B37)</f>
        <v>42</v>
      </c>
      <c r="D37" s="14" t="n">
        <f aca="false">SUMIF(Vendas!$M$2:$M$101,B37,Vendas!$L$2:$L$101)</f>
        <v>35974000</v>
      </c>
      <c r="E37" s="15" t="n">
        <f aca="false">IF($C$6=0,0,D37/$C$6)</f>
        <v>0.274633747871959</v>
      </c>
      <c r="F37" s="14" t="n">
        <f aca="false">IF(C37=0,0,D37/C37)</f>
        <v>856523.80952381</v>
      </c>
      <c r="H37" s="13" t="s">
        <v>83</v>
      </c>
      <c r="I37" s="13" t="n">
        <f aca="false">COUNTIF(Vendas!$F$2:$F$101,H37)</f>
        <v>4</v>
      </c>
      <c r="J37" s="14" t="n">
        <f aca="false">SUMIF(Vendas!$F$2:$F$101,H37,Vendas!$L$2:$L$101)</f>
        <v>4753000</v>
      </c>
      <c r="K37" s="15" t="n">
        <f aca="false">IF($C$6=0,0,J37/$C$6)</f>
        <v>0.0362854896212659</v>
      </c>
      <c r="L37" s="14" t="n">
        <f aca="false">IF(I37=0,0,J37/I37)</f>
        <v>1188250</v>
      </c>
    </row>
    <row r="38" customFormat="false" ht="15" hidden="false" customHeight="false" outlineLevel="0" collapsed="false">
      <c r="B38" s="13" t="s">
        <v>84</v>
      </c>
      <c r="C38" s="13" t="n">
        <f aca="false">COUNTIF(Vendas!$M$2:$M$101,B38)</f>
        <v>29</v>
      </c>
      <c r="D38" s="14" t="n">
        <f aca="false">SUMIF(Vendas!$M$2:$M$101,B38,Vendas!$L$2:$L$101)</f>
        <v>34835000</v>
      </c>
      <c r="E38" s="15" t="n">
        <f aca="false">IF($C$6=0,0,D38/$C$6)</f>
        <v>0.26593836123644</v>
      </c>
      <c r="F38" s="14" t="n">
        <f aca="false">IF(C38=0,0,D38/C38)</f>
        <v>1201206.89655172</v>
      </c>
      <c r="H38" s="13" t="s">
        <v>85</v>
      </c>
      <c r="I38" s="13" t="n">
        <f aca="false">COUNTIF(Vendas!$F$2:$F$101,H38)</f>
        <v>12</v>
      </c>
      <c r="J38" s="14" t="n">
        <f aca="false">SUMIF(Vendas!$F$2:$F$101,H38,Vendas!$L$2:$L$101)</f>
        <v>9687000</v>
      </c>
      <c r="K38" s="15" t="n">
        <f aca="false">IF($C$6=0,0,J38/$C$6)</f>
        <v>0.0739527746604677</v>
      </c>
      <c r="L38" s="14" t="n">
        <f aca="false">IF(I38=0,0,J38/I38)</f>
        <v>807250</v>
      </c>
    </row>
    <row r="39" customFormat="false" ht="15" hidden="false" customHeight="false" outlineLevel="0" collapsed="false">
      <c r="B39" s="13" t="s">
        <v>86</v>
      </c>
      <c r="C39" s="13" t="n">
        <f aca="false">COUNTIF(Vendas!$M$2:$M$101,B39)</f>
        <v>14</v>
      </c>
      <c r="D39" s="14" t="n">
        <f aca="false">SUMIF(Vendas!$M$2:$M$101,B39,Vendas!$L$2:$L$101)</f>
        <v>24133000</v>
      </c>
      <c r="E39" s="15" t="n">
        <f aca="false">IF($C$6=0,0,D39/$C$6)</f>
        <v>0.184236844315172</v>
      </c>
      <c r="F39" s="14" t="n">
        <f aca="false">IF(C39=0,0,D39/C39)</f>
        <v>1723785.71428571</v>
      </c>
      <c r="H39" s="13" t="s">
        <v>87</v>
      </c>
      <c r="I39" s="13" t="n">
        <f aca="false">COUNTIF(Vendas!$F$2:$F$101,H39)</f>
        <v>16</v>
      </c>
      <c r="J39" s="14" t="n">
        <f aca="false">SUMIF(Vendas!$F$2:$F$101,H39,Vendas!$L$2:$L$101)</f>
        <v>17278000</v>
      </c>
      <c r="K39" s="15" t="n">
        <f aca="false">IF($C$6=0,0,J39/$C$6)</f>
        <v>0.131904205696662</v>
      </c>
      <c r="L39" s="14" t="n">
        <f aca="false">IF(I39=0,0,J39/I39)</f>
        <v>1079875</v>
      </c>
    </row>
    <row r="40" customFormat="false" ht="15" hidden="false" customHeight="false" outlineLevel="0" collapsed="false">
      <c r="B40" s="13" t="s">
        <v>88</v>
      </c>
      <c r="C40" s="13" t="n">
        <f aca="false">COUNTIF(Vendas!$M$2:$M$101,B40)</f>
        <v>15</v>
      </c>
      <c r="D40" s="14" t="n">
        <f aca="false">SUMIF(Vendas!$M$2:$M$101,B40,Vendas!$L$2:$L$101)</f>
        <v>36047000</v>
      </c>
      <c r="E40" s="15" t="n">
        <f aca="false">IF($C$6=0,0,D40/$C$6)</f>
        <v>0.27519104657643</v>
      </c>
      <c r="F40" s="14" t="n">
        <f aca="false">IF(C40=0,0,D40/C40)</f>
        <v>2403133.33333333</v>
      </c>
      <c r="H40" s="13" t="s">
        <v>89</v>
      </c>
      <c r="I40" s="13" t="n">
        <f aca="false">COUNTIF(Vendas!$F$2:$F$101,H40)</f>
        <v>19</v>
      </c>
      <c r="J40" s="14" t="n">
        <f aca="false">SUMIF(Vendas!$F$2:$F$101,H40,Vendas!$L$2:$L$101)</f>
        <v>22206000</v>
      </c>
      <c r="K40" s="15" t="n">
        <f aca="false">IF($C$6=0,0,J40/$C$6)</f>
        <v>0.169525685362893</v>
      </c>
      <c r="L40" s="14" t="n">
        <f aca="false">IF(I40=0,0,J40/I40)</f>
        <v>1168736.84210526</v>
      </c>
    </row>
    <row r="41" customFormat="false" ht="15" hidden="false" customHeight="false" outlineLevel="0" collapsed="false">
      <c r="H41" s="13" t="s">
        <v>90</v>
      </c>
      <c r="I41" s="13" t="n">
        <f aca="false">COUNTIF(Vendas!$F$2:$F$101,H41)</f>
        <v>29</v>
      </c>
      <c r="J41" s="14" t="n">
        <f aca="false">SUMIF(Vendas!$F$2:$F$101,H41,Vendas!$L$2:$L$101)</f>
        <v>48753000</v>
      </c>
      <c r="K41" s="15" t="n">
        <f aca="false">IF($C$6=0,0,J41/$C$6)</f>
        <v>0.372191558069762</v>
      </c>
      <c r="L41" s="14" t="n">
        <f aca="false">IF(I41=0,0,J41/I41)</f>
        <v>1681137.93103448</v>
      </c>
    </row>
    <row r="42" customFormat="false" ht="15" hidden="false" customHeight="false" outlineLevel="0" collapsed="false">
      <c r="H42" s="13" t="s">
        <v>91</v>
      </c>
      <c r="I42" s="13" t="n">
        <f aca="false">COUNTIF(Vendas!$F$2:$F$101,H42)</f>
        <v>16</v>
      </c>
      <c r="J42" s="14" t="n">
        <f aca="false">SUMIF(Vendas!$F$2:$F$101,H42,Vendas!$L$2:$L$101)</f>
        <v>21598000</v>
      </c>
      <c r="K42" s="15" t="n">
        <f aca="false">IF($C$6=0,0,J42/$C$6)</f>
        <v>0.164884074235241</v>
      </c>
      <c r="L42" s="14" t="n">
        <f aca="false">IF(I42=0,0,J42/I42)</f>
        <v>1349875</v>
      </c>
    </row>
    <row r="43" customFormat="false" ht="15" hidden="false" customHeight="false" outlineLevel="0" collapsed="false">
      <c r="H43" s="13" t="s">
        <v>92</v>
      </c>
      <c r="I43" s="13" t="n">
        <f aca="false">COUNTIF(Vendas!$F$2:$F$101,H43)</f>
        <v>4</v>
      </c>
      <c r="J43" s="14" t="n">
        <f aca="false">SUMIF(Vendas!$F$2:$F$101,H43,Vendas!$L$2:$L$101)</f>
        <v>6714000</v>
      </c>
      <c r="K43" s="15" t="n">
        <f aca="false">IF($C$6=0,0,J43/$C$6)</f>
        <v>0.0512562123537091</v>
      </c>
      <c r="L43" s="14" t="n">
        <f aca="false">IF(I43=0,0,J43/I43)</f>
        <v>1678500</v>
      </c>
    </row>
    <row r="45" customFormat="false" ht="15" hidden="false" customHeight="false" outlineLevel="0" collapsed="false">
      <c r="H45" s="4" t="s">
        <v>93</v>
      </c>
    </row>
    <row r="46" customFormat="false" ht="15" hidden="false" customHeight="false" outlineLevel="0" collapsed="false">
      <c r="H46" s="12" t="s">
        <v>94</v>
      </c>
      <c r="I46" s="12" t="s">
        <v>41</v>
      </c>
      <c r="J46" s="12" t="s">
        <v>42</v>
      </c>
      <c r="K46" s="12" t="s">
        <v>43</v>
      </c>
      <c r="L46" s="12" t="s">
        <v>34</v>
      </c>
    </row>
    <row r="47" customFormat="false" ht="15" hidden="false" customHeight="false" outlineLevel="0" collapsed="false">
      <c r="H47" s="13" t="s">
        <v>95</v>
      </c>
      <c r="I47" s="13" t="n">
        <f aca="false">COUNTIF(Vendas!$J$2:$J$101,H47)</f>
        <v>4</v>
      </c>
      <c r="J47" s="14" t="n">
        <f aca="false">SUMIF(Vendas!$J$2:$J$101,H47,Vendas!$L$2:$L$101)</f>
        <v>4197000</v>
      </c>
      <c r="K47" s="15" t="n">
        <f aca="false">IF($C$6=0,0,J47/$C$6)</f>
        <v>0.0320408583926895</v>
      </c>
      <c r="L47" s="14" t="n">
        <f aca="false">IF(I47=0,0,J47/I47)</f>
        <v>1049250</v>
      </c>
    </row>
    <row r="48" customFormat="false" ht="15" hidden="false" customHeight="false" outlineLevel="0" collapsed="false">
      <c r="H48" s="13" t="s">
        <v>96</v>
      </c>
      <c r="I48" s="13" t="n">
        <f aca="false">COUNTIF(Vendas!$J$2:$J$101,H48)</f>
        <v>15</v>
      </c>
      <c r="J48" s="14" t="n">
        <f aca="false">SUMIF(Vendas!$J$2:$J$101,H48,Vendas!$L$2:$L$101)</f>
        <v>22115000</v>
      </c>
      <c r="K48" s="15" t="n">
        <f aca="false">IF($C$6=0,0,J48/$C$6)</f>
        <v>0.168830970539511</v>
      </c>
      <c r="L48" s="14" t="n">
        <f aca="false">IF(I48=0,0,J48/I48)</f>
        <v>1474333.33333333</v>
      </c>
    </row>
    <row r="49" customFormat="false" ht="15" hidden="false" customHeight="false" outlineLevel="0" collapsed="false">
      <c r="H49" s="13" t="s">
        <v>97</v>
      </c>
      <c r="I49" s="13" t="n">
        <f aca="false">COUNTIF(Vendas!$J$2:$J$101,H49)</f>
        <v>4</v>
      </c>
      <c r="J49" s="14" t="n">
        <f aca="false">SUMIF(Vendas!$J$2:$J$101,H49,Vendas!$L$2:$L$101)</f>
        <v>3710000</v>
      </c>
      <c r="K49" s="15" t="n">
        <f aca="false">IF($C$6=0,0,J49/$C$6)</f>
        <v>0.0283229889532709</v>
      </c>
      <c r="L49" s="14" t="n">
        <f aca="false">IF(I49=0,0,J49/I49)</f>
        <v>927500</v>
      </c>
    </row>
    <row r="50" customFormat="false" ht="15" hidden="false" customHeight="false" outlineLevel="0" collapsed="false">
      <c r="H50" s="13" t="s">
        <v>98</v>
      </c>
      <c r="I50" s="13" t="n">
        <f aca="false">COUNTIF(Vendas!$J$2:$J$101,H50)</f>
        <v>6</v>
      </c>
      <c r="J50" s="14" t="n">
        <f aca="false">SUMIF(Vendas!$J$2:$J$101,H50,Vendas!$L$2:$L$101)</f>
        <v>9578000</v>
      </c>
      <c r="K50" s="15" t="n">
        <f aca="false">IF($C$6=0,0,J50/$C$6)</f>
        <v>0.0731206437181748</v>
      </c>
      <c r="L50" s="14" t="n">
        <f aca="false">IF(I50=0,0,J50/I50)</f>
        <v>1596333.33333333</v>
      </c>
    </row>
    <row r="51" customFormat="false" ht="15" hidden="false" customHeight="false" outlineLevel="0" collapsed="false">
      <c r="H51" s="13" t="s">
        <v>99</v>
      </c>
      <c r="I51" s="13" t="n">
        <f aca="false">COUNTIF(Vendas!$J$2:$J$101,H51)</f>
        <v>12</v>
      </c>
      <c r="J51" s="14" t="n">
        <f aca="false">SUMIF(Vendas!$J$2:$J$101,H51,Vendas!$L$2:$L$101)</f>
        <v>14528000</v>
      </c>
      <c r="K51" s="15" t="n">
        <f aca="false">IF($C$6=0,0,J51/$C$6)</f>
        <v>0.110910076418631</v>
      </c>
      <c r="L51" s="14" t="n">
        <f aca="false">IF(I51=0,0,J51/I51)</f>
        <v>1210666.66666667</v>
      </c>
    </row>
    <row r="52" customFormat="false" ht="15" hidden="false" customHeight="false" outlineLevel="0" collapsed="false">
      <c r="H52" s="13" t="s">
        <v>100</v>
      </c>
      <c r="I52" s="13" t="n">
        <f aca="false">COUNTIF(Vendas!$J$2:$J$101,H52)</f>
        <v>13</v>
      </c>
      <c r="J52" s="14" t="n">
        <f aca="false">SUMIF(Vendas!$J$2:$J$101,H52,Vendas!$L$2:$L$101)</f>
        <v>14777000</v>
      </c>
      <c r="K52" s="15" t="n">
        <f aca="false">IF($C$6=0,0,J52/$C$6)</f>
        <v>0.112810999396896</v>
      </c>
      <c r="L52" s="14" t="n">
        <f aca="false">IF(I52=0,0,J52/I52)</f>
        <v>1136692.30769231</v>
      </c>
    </row>
    <row r="53" customFormat="false" ht="15" hidden="false" customHeight="false" outlineLevel="0" collapsed="false">
      <c r="H53" s="13" t="s">
        <v>101</v>
      </c>
      <c r="I53" s="13" t="n">
        <f aca="false">COUNTIF(Vendas!$J$2:$J$101,H53)</f>
        <v>10</v>
      </c>
      <c r="J53" s="14" t="n">
        <f aca="false">SUMIF(Vendas!$J$2:$J$101,H53,Vendas!$L$2:$L$101)</f>
        <v>12586000</v>
      </c>
      <c r="K53" s="15" t="n">
        <f aca="false">IF($C$6=0,0,J53/$C$6)</f>
        <v>0.0960844040339265</v>
      </c>
      <c r="L53" s="14" t="n">
        <f aca="false">IF(I53=0,0,J53/I53)</f>
        <v>1258600</v>
      </c>
    </row>
    <row r="54" customFormat="false" ht="15" hidden="false" customHeight="false" outlineLevel="0" collapsed="false">
      <c r="H54" s="13" t="s">
        <v>102</v>
      </c>
      <c r="I54" s="13" t="n">
        <f aca="false">COUNTIF(Vendas!$J$2:$J$101,H54)</f>
        <v>26</v>
      </c>
      <c r="J54" s="14" t="n">
        <f aca="false">SUMIF(Vendas!$J$2:$J$101,H54,Vendas!$L$2:$L$101)</f>
        <v>39789000</v>
      </c>
      <c r="K54" s="15" t="n">
        <f aca="false">IF($C$6=0,0,J54/$C$6)</f>
        <v>0.303758330852209</v>
      </c>
      <c r="L54" s="14" t="n">
        <f aca="false">IF(I54=0,0,J54/I54)</f>
        <v>1530346.15384615</v>
      </c>
    </row>
    <row r="55" customFormat="false" ht="15" hidden="false" customHeight="false" outlineLevel="0" collapsed="false">
      <c r="H55" s="13" t="s">
        <v>103</v>
      </c>
      <c r="I55" s="13" t="n">
        <f aca="false">COUNTIF(Vendas!$J$2:$J$101,H55)</f>
        <v>10</v>
      </c>
      <c r="J55" s="14" t="n">
        <f aca="false">SUMIF(Vendas!$J$2:$J$101,H55,Vendas!$L$2:$L$101)</f>
        <v>9709000</v>
      </c>
      <c r="K55" s="15" t="n">
        <f aca="false">IF($C$6=0,0,J55/$C$6)</f>
        <v>0.0741207276946919</v>
      </c>
      <c r="L55" s="14" t="n">
        <f aca="false">IF(I55=0,0,J55/I55)</f>
        <v>970900</v>
      </c>
    </row>
  </sheetData>
  <conditionalFormatting sqref="D16:D21">
    <cfRule type="dataBar" priority="2">
      <dataBar showValue="1" minLength="10" maxLength="90">
        <cfvo type="num" val="0"/>
        <cfvo type="max" val="0"/>
        <color rgb="FFE8A0A8"/>
      </dataBar>
      <extLst>
        <ext xmlns:x14="http://schemas.microsoft.com/office/spreadsheetml/2009/9/main" uri="{B025F937-C7B1-47D3-B67F-A62EFF666E3E}">
          <x14:id>{3C7F53DE-34A4-4EFC-9A40-5CBAF9846CCE}</x14:id>
        </ext>
      </extLst>
    </cfRule>
  </conditionalFormatting>
  <conditionalFormatting sqref="D25:D27">
    <cfRule type="dataBar" priority="3">
      <dataBar showValue="1" minLength="10" maxLength="90">
        <cfvo type="num" val="0"/>
        <cfvo type="max" val="0"/>
        <color rgb="FFE8A0A8"/>
      </dataBar>
      <extLst>
        <ext xmlns:x14="http://schemas.microsoft.com/office/spreadsheetml/2009/9/main" uri="{B025F937-C7B1-47D3-B67F-A62EFF666E3E}">
          <x14:id>{9015D0DF-216A-4546-AD82-963324C6C35C}</x14:id>
        </ext>
      </extLst>
    </cfRule>
  </conditionalFormatting>
  <conditionalFormatting sqref="D31:D33">
    <cfRule type="dataBar" priority="4">
      <dataBar showValue="1" minLength="10" maxLength="90">
        <cfvo type="num" val="0"/>
        <cfvo type="max" val="0"/>
        <color rgb="FFE8A0A8"/>
      </dataBar>
      <extLst>
        <ext xmlns:x14="http://schemas.microsoft.com/office/spreadsheetml/2009/9/main" uri="{B025F937-C7B1-47D3-B67F-A62EFF666E3E}">
          <x14:id>{317A2697-E660-41F5-A83C-9046B9CD655E}</x14:id>
        </ext>
      </extLst>
    </cfRule>
  </conditionalFormatting>
  <conditionalFormatting sqref="D37:D40">
    <cfRule type="dataBar" priority="5">
      <dataBar showValue="1" minLength="10" maxLength="90">
        <cfvo type="num" val="0"/>
        <cfvo type="max" val="0"/>
        <color rgb="FFE8A0A8"/>
      </dataBar>
      <extLst>
        <ext xmlns:x14="http://schemas.microsoft.com/office/spreadsheetml/2009/9/main" uri="{B025F937-C7B1-47D3-B67F-A62EFF666E3E}">
          <x14:id>{A17018A7-C413-4661-B9D4-FCFFA74FC994}</x14:id>
        </ext>
      </extLst>
    </cfRule>
  </conditionalFormatting>
  <conditionalFormatting sqref="J16:J26">
    <cfRule type="dataBar" priority="6">
      <dataBar showValue="1" minLength="10" maxLength="90">
        <cfvo type="num" val="0"/>
        <cfvo type="max" val="0"/>
        <color rgb="FFE8A0A8"/>
      </dataBar>
      <extLst>
        <ext xmlns:x14="http://schemas.microsoft.com/office/spreadsheetml/2009/9/main" uri="{B025F937-C7B1-47D3-B67F-A62EFF666E3E}">
          <x14:id>{A170A6F2-42CD-41A3-B0FA-4DDD384E13EF}</x14:id>
        </ext>
      </extLst>
    </cfRule>
  </conditionalFormatting>
  <conditionalFormatting sqref="J30:J33">
    <cfRule type="dataBar" priority="7">
      <dataBar showValue="1" minLength="10" maxLength="90">
        <cfvo type="num" val="0"/>
        <cfvo type="max" val="0"/>
        <color rgb="FFE8A0A8"/>
      </dataBar>
      <extLst>
        <ext xmlns:x14="http://schemas.microsoft.com/office/spreadsheetml/2009/9/main" uri="{B025F937-C7B1-47D3-B67F-A62EFF666E3E}">
          <x14:id>{17CF475B-281B-477B-9420-2F8A73A0EFAF}</x14:id>
        </ext>
      </extLst>
    </cfRule>
  </conditionalFormatting>
  <conditionalFormatting sqref="J37:J43">
    <cfRule type="dataBar" priority="8">
      <dataBar showValue="1" minLength="10" maxLength="90">
        <cfvo type="num" val="0"/>
        <cfvo type="max" val="0"/>
        <color rgb="FFE8A0A8"/>
      </dataBar>
      <extLst>
        <ext xmlns:x14="http://schemas.microsoft.com/office/spreadsheetml/2009/9/main" uri="{B025F937-C7B1-47D3-B67F-A62EFF666E3E}">
          <x14:id>{C274504B-FA4E-43B6-A8DB-AF4CD2C52098}</x14:id>
        </ext>
      </extLst>
    </cfRule>
  </conditionalFormatting>
  <conditionalFormatting sqref="J47:J55">
    <cfRule type="dataBar" priority="9">
      <dataBar showValue="1" minLength="10" maxLength="90">
        <cfvo type="num" val="0"/>
        <cfvo type="max" val="0"/>
        <color rgb="FFE8A0A8"/>
      </dataBar>
      <extLst>
        <ext xmlns:x14="http://schemas.microsoft.com/office/spreadsheetml/2009/9/main" uri="{B025F937-C7B1-47D3-B67F-A62EFF666E3E}">
          <x14:id>{E84B6429-CB20-4849-A428-A4325070ED34}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7F53DE-34A4-4EFC-9A40-5CBAF9846CCE}">
            <x14:dataBar minLength="10" maxLength="90" axisPosition="none" gradient="true">
              <x14:cfvo type="num">
                <xm:f>0</xm:f>
              </x14:cfvo>
              <x14:cfvo type="max"/>
              <x14:negativeFillColor rgb="FFE8A0A8"/>
              <x14:axisColor rgb="FF000000"/>
            </x14:dataBar>
          </x14:cfRule>
          <xm:sqref>D16:D21</xm:sqref>
        </x14:conditionalFormatting>
        <x14:conditionalFormatting xmlns:xm="http://schemas.microsoft.com/office/excel/2006/main">
          <x14:cfRule type="dataBar" id="{9015D0DF-216A-4546-AD82-963324C6C35C}">
            <x14:dataBar minLength="10" maxLength="90" axisPosition="none" gradient="true">
              <x14:cfvo type="num">
                <xm:f>0</xm:f>
              </x14:cfvo>
              <x14:cfvo type="max"/>
              <x14:negativeFillColor rgb="FFE8A0A8"/>
              <x14:axisColor rgb="FF000000"/>
            </x14:dataBar>
          </x14:cfRule>
          <xm:sqref>D25:D27</xm:sqref>
        </x14:conditionalFormatting>
        <x14:conditionalFormatting xmlns:xm="http://schemas.microsoft.com/office/excel/2006/main">
          <x14:cfRule type="dataBar" id="{317A2697-E660-41F5-A83C-9046B9CD655E}">
            <x14:dataBar minLength="10" maxLength="90" axisPosition="none" gradient="true">
              <x14:cfvo type="num">
                <xm:f>0</xm:f>
              </x14:cfvo>
              <x14:cfvo type="max"/>
              <x14:negativeFillColor rgb="FFE8A0A8"/>
              <x14:axisColor rgb="FF000000"/>
            </x14:dataBar>
          </x14:cfRule>
          <xm:sqref>D31:D33</xm:sqref>
        </x14:conditionalFormatting>
        <x14:conditionalFormatting xmlns:xm="http://schemas.microsoft.com/office/excel/2006/main">
          <x14:cfRule type="dataBar" id="{A17018A7-C413-4661-B9D4-FCFFA74FC994}">
            <x14:dataBar minLength="10" maxLength="90" axisPosition="none" gradient="true">
              <x14:cfvo type="num">
                <xm:f>0</xm:f>
              </x14:cfvo>
              <x14:cfvo type="max"/>
              <x14:negativeFillColor rgb="FFE8A0A8"/>
              <x14:axisColor rgb="FF000000"/>
            </x14:dataBar>
          </x14:cfRule>
          <xm:sqref>D37:D40</xm:sqref>
        </x14:conditionalFormatting>
        <x14:conditionalFormatting xmlns:xm="http://schemas.microsoft.com/office/excel/2006/main">
          <x14:cfRule type="dataBar" id="{A170A6F2-42CD-41A3-B0FA-4DDD384E13EF}">
            <x14:dataBar minLength="10" maxLength="90" axisPosition="none" gradient="true">
              <x14:cfvo type="num">
                <xm:f>0</xm:f>
              </x14:cfvo>
              <x14:cfvo type="max"/>
              <x14:negativeFillColor rgb="FFE8A0A8"/>
              <x14:axisColor rgb="FF000000"/>
            </x14:dataBar>
          </x14:cfRule>
          <xm:sqref>J16:J26</xm:sqref>
        </x14:conditionalFormatting>
        <x14:conditionalFormatting xmlns:xm="http://schemas.microsoft.com/office/excel/2006/main">
          <x14:cfRule type="dataBar" id="{17CF475B-281B-477B-9420-2F8A73A0EFAF}">
            <x14:dataBar minLength="10" maxLength="90" axisPosition="none" gradient="true">
              <x14:cfvo type="num">
                <xm:f>0</xm:f>
              </x14:cfvo>
              <x14:cfvo type="max"/>
              <x14:negativeFillColor rgb="FFE8A0A8"/>
              <x14:axisColor rgb="FF000000"/>
            </x14:dataBar>
          </x14:cfRule>
          <xm:sqref>J30:J33</xm:sqref>
        </x14:conditionalFormatting>
        <x14:conditionalFormatting xmlns:xm="http://schemas.microsoft.com/office/excel/2006/main">
          <x14:cfRule type="dataBar" id="{C274504B-FA4E-43B6-A8DB-AF4CD2C52098}">
            <x14:dataBar minLength="10" maxLength="90" axisPosition="none" gradient="true">
              <x14:cfvo type="num">
                <xm:f>0</xm:f>
              </x14:cfvo>
              <x14:cfvo type="max"/>
              <x14:negativeFillColor rgb="FFE8A0A8"/>
              <x14:axisColor rgb="FF000000"/>
            </x14:dataBar>
          </x14:cfRule>
          <xm:sqref>J37:J43</xm:sqref>
        </x14:conditionalFormatting>
        <x14:conditionalFormatting xmlns:xm="http://schemas.microsoft.com/office/excel/2006/main">
          <x14:cfRule type="dataBar" id="{E84B6429-CB20-4849-A428-A4325070ED34}">
            <x14:dataBar minLength="10" maxLength="90" axisPosition="none" gradient="true">
              <x14:cfvo type="num">
                <xm:f>0</xm:f>
              </x14:cfvo>
              <x14:cfvo type="max"/>
              <x14:negativeFillColor rgb="FFE8A0A8"/>
              <x14:axisColor rgb="FF000000"/>
            </x14:dataBar>
          </x14:cfRule>
          <xm:sqref>J47:J55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7"/>
    <col collapsed="false" customWidth="true" hidden="false" outlineLevel="0" max="7" min="7" style="0" width="16"/>
    <col collapsed="false" customWidth="true" hidden="false" outlineLevel="0" max="8" min="8" style="0" width="6"/>
    <col collapsed="false" customWidth="true" hidden="false" outlineLevel="0" max="9" min="9" style="0" width="13"/>
    <col collapsed="false" customWidth="true" hidden="false" outlineLevel="0" max="10" min="10" style="0" width="19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3" min="13" style="0" width="17"/>
  </cols>
  <sheetData>
    <row r="1" customFormat="false" ht="30" hidden="false" customHeight="true" outlineLevel="0" collapsed="false">
      <c r="A1" s="16" t="s">
        <v>104</v>
      </c>
      <c r="B1" s="16" t="s">
        <v>105</v>
      </c>
      <c r="C1" s="16" t="s">
        <v>40</v>
      </c>
      <c r="D1" s="16" t="s">
        <v>60</v>
      </c>
      <c r="E1" s="16" t="s">
        <v>70</v>
      </c>
      <c r="F1" s="16" t="s">
        <v>81</v>
      </c>
      <c r="G1" s="16" t="s">
        <v>106</v>
      </c>
      <c r="H1" s="16" t="s">
        <v>44</v>
      </c>
      <c r="I1" s="16" t="s">
        <v>69</v>
      </c>
      <c r="J1" s="16" t="s">
        <v>94</v>
      </c>
      <c r="K1" s="16" t="s">
        <v>107</v>
      </c>
      <c r="L1" s="16" t="s">
        <v>108</v>
      </c>
      <c r="M1" s="16" t="s">
        <v>80</v>
      </c>
    </row>
    <row r="2" customFormat="false" ht="15" hidden="false" customHeight="false" outlineLevel="0" collapsed="false">
      <c r="A2" s="17" t="s">
        <v>109</v>
      </c>
      <c r="B2" s="17" t="s">
        <v>110</v>
      </c>
      <c r="C2" s="17" t="s">
        <v>53</v>
      </c>
      <c r="D2" s="17" t="s">
        <v>62</v>
      </c>
      <c r="E2" s="17" t="s">
        <v>72</v>
      </c>
      <c r="F2" s="18" t="s">
        <v>87</v>
      </c>
      <c r="G2" s="17" t="s">
        <v>111</v>
      </c>
      <c r="H2" s="18" t="s">
        <v>46</v>
      </c>
      <c r="I2" s="17" t="s">
        <v>71</v>
      </c>
      <c r="J2" s="17" t="s">
        <v>96</v>
      </c>
      <c r="K2" s="19" t="n">
        <v>1.1373</v>
      </c>
      <c r="L2" s="20" t="n">
        <f aca="false">ROUND(INDEX(Premissas!$C$6:$C$11,MATCH(C2,Premissas!$B$6:$B$11,0))*K2,-3)</f>
        <v>933000</v>
      </c>
      <c r="M2" s="17" t="str">
        <f aca="false">IF(L2&lt;1000000,"Até R$ 1 mi",IF(L2&lt;1500000,"R$ 1–1,5 mi",IF(L2&lt;2000000,"R$ 1,5–2 mi","Acima de R$ 2 mi")))</f>
        <v>Até R$ 1 mi</v>
      </c>
    </row>
    <row r="3" customFormat="false" ht="15" hidden="false" customHeight="false" outlineLevel="0" collapsed="false">
      <c r="A3" s="17" t="s">
        <v>112</v>
      </c>
      <c r="B3" s="17" t="s">
        <v>113</v>
      </c>
      <c r="C3" s="17" t="s">
        <v>45</v>
      </c>
      <c r="D3" s="17" t="s">
        <v>62</v>
      </c>
      <c r="E3" s="17" t="s">
        <v>72</v>
      </c>
      <c r="F3" s="18" t="s">
        <v>90</v>
      </c>
      <c r="G3" s="17" t="s">
        <v>114</v>
      </c>
      <c r="H3" s="18" t="s">
        <v>61</v>
      </c>
      <c r="I3" s="17" t="s">
        <v>77</v>
      </c>
      <c r="J3" s="17" t="s">
        <v>102</v>
      </c>
      <c r="K3" s="19" t="n">
        <v>2.4403</v>
      </c>
      <c r="L3" s="20" t="n">
        <f aca="false">ROUND(INDEX(Premissas!$C$6:$C$11,MATCH(C3,Premissas!$B$6:$B$11,0))*K3,-3)</f>
        <v>2391000</v>
      </c>
      <c r="M3" s="17" t="str">
        <f aca="false">IF(L3&lt;1000000,"Até R$ 1 mi",IF(L3&lt;1500000,"R$ 1–1,5 mi",IF(L3&lt;2000000,"R$ 1,5–2 mi","Acima de R$ 2 mi")))</f>
        <v>Acima de R$ 2 mi</v>
      </c>
    </row>
    <row r="4" customFormat="false" ht="15" hidden="false" customHeight="false" outlineLevel="0" collapsed="false">
      <c r="A4" s="17" t="s">
        <v>115</v>
      </c>
      <c r="B4" s="17" t="s">
        <v>116</v>
      </c>
      <c r="C4" s="17" t="s">
        <v>47</v>
      </c>
      <c r="D4" s="17" t="s">
        <v>66</v>
      </c>
      <c r="E4" s="17" t="s">
        <v>72</v>
      </c>
      <c r="F4" s="18" t="s">
        <v>89</v>
      </c>
      <c r="G4" s="17" t="s">
        <v>117</v>
      </c>
      <c r="H4" s="18" t="s">
        <v>52</v>
      </c>
      <c r="I4" s="17" t="s">
        <v>75</v>
      </c>
      <c r="J4" s="17" t="s">
        <v>100</v>
      </c>
      <c r="K4" s="19" t="n">
        <v>1.4681</v>
      </c>
      <c r="L4" s="20" t="n">
        <f aca="false">ROUND(INDEX(Premissas!$C$6:$C$11,MATCH(C4,Premissas!$B$6:$B$11,0))*K4,-3)</f>
        <v>1189000</v>
      </c>
      <c r="M4" s="17" t="str">
        <f aca="false">IF(L4&lt;1000000,"Até R$ 1 mi",IF(L4&lt;1500000,"R$ 1–1,5 mi",IF(L4&lt;2000000,"R$ 1,5–2 mi","Acima de R$ 2 mi")))</f>
        <v>R$ 1–1,5 mi</v>
      </c>
    </row>
    <row r="5" customFormat="false" ht="15" hidden="false" customHeight="false" outlineLevel="0" collapsed="false">
      <c r="A5" s="17" t="s">
        <v>118</v>
      </c>
      <c r="B5" s="17" t="s">
        <v>119</v>
      </c>
      <c r="C5" s="17" t="s">
        <v>55</v>
      </c>
      <c r="D5" s="17" t="s">
        <v>66</v>
      </c>
      <c r="E5" s="17" t="s">
        <v>72</v>
      </c>
      <c r="F5" s="18" t="s">
        <v>85</v>
      </c>
      <c r="G5" s="17" t="s">
        <v>120</v>
      </c>
      <c r="H5" s="18" t="s">
        <v>50</v>
      </c>
      <c r="I5" s="17" t="s">
        <v>71</v>
      </c>
      <c r="J5" s="17" t="s">
        <v>99</v>
      </c>
      <c r="K5" s="19" t="n">
        <v>1.1698</v>
      </c>
      <c r="L5" s="20" t="n">
        <f aca="false">ROUND(INDEX(Premissas!$C$6:$C$11,MATCH(C5,Premissas!$B$6:$B$11,0))*K5,-3)</f>
        <v>678000</v>
      </c>
      <c r="M5" s="17" t="str">
        <f aca="false">IF(L5&lt;1000000,"Até R$ 1 mi",IF(L5&lt;1500000,"R$ 1–1,5 mi",IF(L5&lt;2000000,"R$ 1,5–2 mi","Acima de R$ 2 mi")))</f>
        <v>Até R$ 1 mi</v>
      </c>
    </row>
    <row r="6" customFormat="false" ht="15" hidden="false" customHeight="false" outlineLevel="0" collapsed="false">
      <c r="A6" s="17" t="s">
        <v>121</v>
      </c>
      <c r="B6" s="17" t="s">
        <v>122</v>
      </c>
      <c r="C6" s="17" t="s">
        <v>51</v>
      </c>
      <c r="D6" s="17" t="s">
        <v>64</v>
      </c>
      <c r="E6" s="17" t="s">
        <v>76</v>
      </c>
      <c r="F6" s="18" t="s">
        <v>90</v>
      </c>
      <c r="G6" s="17" t="s">
        <v>123</v>
      </c>
      <c r="H6" s="18" t="s">
        <v>65</v>
      </c>
      <c r="I6" s="17" t="s">
        <v>77</v>
      </c>
      <c r="J6" s="17" t="s">
        <v>103</v>
      </c>
      <c r="K6" s="19" t="n">
        <v>1.0351</v>
      </c>
      <c r="L6" s="20" t="n">
        <f aca="false">ROUND(INDEX(Premissas!$C$6:$C$11,MATCH(C6,Premissas!$B$6:$B$11,0))*K6,-3)</f>
        <v>880000</v>
      </c>
      <c r="M6" s="17" t="str">
        <f aca="false">IF(L6&lt;1000000,"Até R$ 1 mi",IF(L6&lt;1500000,"R$ 1–1,5 mi",IF(L6&lt;2000000,"R$ 1,5–2 mi","Acima de R$ 2 mi")))</f>
        <v>Até R$ 1 mi</v>
      </c>
    </row>
    <row r="7" customFormat="false" ht="15" hidden="false" customHeight="false" outlineLevel="0" collapsed="false">
      <c r="A7" s="17" t="s">
        <v>124</v>
      </c>
      <c r="B7" s="17" t="s">
        <v>125</v>
      </c>
      <c r="C7" s="17" t="s">
        <v>49</v>
      </c>
      <c r="D7" s="17" t="s">
        <v>64</v>
      </c>
      <c r="E7" s="17" t="s">
        <v>72</v>
      </c>
      <c r="F7" s="18" t="s">
        <v>89</v>
      </c>
      <c r="G7" s="17" t="s">
        <v>126</v>
      </c>
      <c r="H7" s="18" t="s">
        <v>48</v>
      </c>
      <c r="I7" s="17" t="s">
        <v>71</v>
      </c>
      <c r="J7" s="17" t="s">
        <v>96</v>
      </c>
      <c r="K7" s="19" t="n">
        <v>1.4615</v>
      </c>
      <c r="L7" s="20" t="n">
        <f aca="false">ROUND(INDEX(Premissas!$C$6:$C$11,MATCH(C7,Premissas!$B$6:$B$11,0))*K7,-3)</f>
        <v>1403000</v>
      </c>
      <c r="M7" s="17" t="str">
        <f aca="false">IF(L7&lt;1000000,"Até R$ 1 mi",IF(L7&lt;1500000,"R$ 1–1,5 mi",IF(L7&lt;2000000,"R$ 1,5–2 mi","Acima de R$ 2 mi")))</f>
        <v>R$ 1–1,5 mi</v>
      </c>
    </row>
    <row r="8" customFormat="false" ht="15" hidden="false" customHeight="false" outlineLevel="0" collapsed="false">
      <c r="A8" s="17" t="s">
        <v>127</v>
      </c>
      <c r="B8" s="17" t="s">
        <v>128</v>
      </c>
      <c r="C8" s="17" t="s">
        <v>45</v>
      </c>
      <c r="D8" s="17" t="s">
        <v>62</v>
      </c>
      <c r="E8" s="17" t="s">
        <v>72</v>
      </c>
      <c r="F8" s="18" t="s">
        <v>83</v>
      </c>
      <c r="G8" s="17" t="s">
        <v>129</v>
      </c>
      <c r="H8" s="18" t="s">
        <v>56</v>
      </c>
      <c r="I8" s="17" t="s">
        <v>73</v>
      </c>
      <c r="J8" s="17" t="s">
        <v>101</v>
      </c>
      <c r="K8" s="19" t="n">
        <v>1</v>
      </c>
      <c r="L8" s="20" t="n">
        <f aca="false">ROUND(INDEX(Premissas!$C$6:$C$11,MATCH(C8,Premissas!$B$6:$B$11,0))*K8,-3)</f>
        <v>980000</v>
      </c>
      <c r="M8" s="17" t="str">
        <f aca="false">IF(L8&lt;1000000,"Até R$ 1 mi",IF(L8&lt;1500000,"R$ 1–1,5 mi",IF(L8&lt;2000000,"R$ 1,5–2 mi","Acima de R$ 2 mi")))</f>
        <v>Até R$ 1 mi</v>
      </c>
    </row>
    <row r="9" customFormat="false" ht="15" hidden="false" customHeight="false" outlineLevel="0" collapsed="false">
      <c r="A9" s="17" t="s">
        <v>130</v>
      </c>
      <c r="B9" s="17" t="s">
        <v>131</v>
      </c>
      <c r="C9" s="17" t="s">
        <v>47</v>
      </c>
      <c r="D9" s="17" t="s">
        <v>66</v>
      </c>
      <c r="E9" s="17" t="s">
        <v>74</v>
      </c>
      <c r="F9" s="18" t="s">
        <v>87</v>
      </c>
      <c r="G9" s="17" t="s">
        <v>132</v>
      </c>
      <c r="H9" s="18" t="s">
        <v>57</v>
      </c>
      <c r="I9" s="17" t="s">
        <v>73</v>
      </c>
      <c r="J9" s="17" t="s">
        <v>102</v>
      </c>
      <c r="K9" s="19" t="n">
        <v>1.1686</v>
      </c>
      <c r="L9" s="20" t="n">
        <f aca="false">ROUND(INDEX(Premissas!$C$6:$C$11,MATCH(C9,Premissas!$B$6:$B$11,0))*K9,-3)</f>
        <v>947000</v>
      </c>
      <c r="M9" s="17" t="str">
        <f aca="false">IF(L9&lt;1000000,"Até R$ 1 mi",IF(L9&lt;1500000,"R$ 1–1,5 mi",IF(L9&lt;2000000,"R$ 1,5–2 mi","Acima de R$ 2 mi")))</f>
        <v>Até R$ 1 mi</v>
      </c>
    </row>
    <row r="10" customFormat="false" ht="15" hidden="false" customHeight="false" outlineLevel="0" collapsed="false">
      <c r="A10" s="17" t="s">
        <v>133</v>
      </c>
      <c r="B10" s="17" t="s">
        <v>134</v>
      </c>
      <c r="C10" s="17" t="s">
        <v>53</v>
      </c>
      <c r="D10" s="17" t="s">
        <v>62</v>
      </c>
      <c r="E10" s="17" t="s">
        <v>72</v>
      </c>
      <c r="F10" s="18" t="s">
        <v>85</v>
      </c>
      <c r="G10" s="17" t="s">
        <v>135</v>
      </c>
      <c r="H10" s="18" t="s">
        <v>59</v>
      </c>
      <c r="I10" s="17" t="s">
        <v>75</v>
      </c>
      <c r="J10" s="17" t="s">
        <v>97</v>
      </c>
      <c r="K10" s="19" t="n">
        <v>1.0515</v>
      </c>
      <c r="L10" s="20" t="n">
        <f aca="false">ROUND(INDEX(Premissas!$C$6:$C$11,MATCH(C10,Premissas!$B$6:$B$11,0))*K10,-3)</f>
        <v>862000</v>
      </c>
      <c r="M10" s="17" t="str">
        <f aca="false">IF(L10&lt;1000000,"Até R$ 1 mi",IF(L10&lt;1500000,"R$ 1–1,5 mi",IF(L10&lt;2000000,"R$ 1,5–2 mi","Acima de R$ 2 mi")))</f>
        <v>Até R$ 1 mi</v>
      </c>
    </row>
    <row r="11" customFormat="false" ht="15" hidden="false" customHeight="false" outlineLevel="0" collapsed="false">
      <c r="A11" s="17" t="s">
        <v>136</v>
      </c>
      <c r="B11" s="17" t="s">
        <v>137</v>
      </c>
      <c r="C11" s="17" t="s">
        <v>55</v>
      </c>
      <c r="D11" s="17" t="s">
        <v>66</v>
      </c>
      <c r="E11" s="17" t="s">
        <v>72</v>
      </c>
      <c r="F11" s="18" t="s">
        <v>90</v>
      </c>
      <c r="G11" s="17" t="s">
        <v>138</v>
      </c>
      <c r="H11" s="18" t="s">
        <v>46</v>
      </c>
      <c r="I11" s="17" t="s">
        <v>71</v>
      </c>
      <c r="J11" s="17" t="s">
        <v>100</v>
      </c>
      <c r="K11" s="19" t="n">
        <v>1.6129</v>
      </c>
      <c r="L11" s="20" t="n">
        <f aca="false">ROUND(INDEX(Premissas!$C$6:$C$11,MATCH(C11,Premissas!$B$6:$B$11,0))*K11,-3)</f>
        <v>935000</v>
      </c>
      <c r="M11" s="17" t="str">
        <f aca="false">IF(L11&lt;1000000,"Até R$ 1 mi",IF(L11&lt;1500000,"R$ 1–1,5 mi",IF(L11&lt;2000000,"R$ 1,5–2 mi","Acima de R$ 2 mi")))</f>
        <v>Até R$ 1 mi</v>
      </c>
    </row>
    <row r="12" customFormat="false" ht="15" hidden="false" customHeight="false" outlineLevel="0" collapsed="false">
      <c r="A12" s="17" t="s">
        <v>139</v>
      </c>
      <c r="B12" s="17" t="s">
        <v>140</v>
      </c>
      <c r="C12" s="17" t="s">
        <v>51</v>
      </c>
      <c r="D12" s="17" t="s">
        <v>64</v>
      </c>
      <c r="E12" s="17" t="s">
        <v>76</v>
      </c>
      <c r="F12" s="18" t="s">
        <v>89</v>
      </c>
      <c r="G12" s="17" t="s">
        <v>138</v>
      </c>
      <c r="H12" s="18" t="s">
        <v>46</v>
      </c>
      <c r="I12" s="17" t="s">
        <v>71</v>
      </c>
      <c r="J12" s="17" t="s">
        <v>95</v>
      </c>
      <c r="K12" s="19" t="n">
        <v>1.3105</v>
      </c>
      <c r="L12" s="20" t="n">
        <f aca="false">ROUND(INDEX(Premissas!$C$6:$C$11,MATCH(C12,Premissas!$B$6:$B$11,0))*K12,-3)</f>
        <v>1114000</v>
      </c>
      <c r="M12" s="17" t="str">
        <f aca="false">IF(L12&lt;1000000,"Até R$ 1 mi",IF(L12&lt;1500000,"R$ 1–1,5 mi",IF(L12&lt;2000000,"R$ 1,5–2 mi","Acima de R$ 2 mi")))</f>
        <v>R$ 1–1,5 mi</v>
      </c>
    </row>
    <row r="13" customFormat="false" ht="15" hidden="false" customHeight="false" outlineLevel="0" collapsed="false">
      <c r="A13" s="17" t="s">
        <v>141</v>
      </c>
      <c r="B13" s="17" t="s">
        <v>142</v>
      </c>
      <c r="C13" s="17" t="s">
        <v>45</v>
      </c>
      <c r="D13" s="17" t="s">
        <v>62</v>
      </c>
      <c r="E13" s="17" t="s">
        <v>72</v>
      </c>
      <c r="F13" s="18" t="s">
        <v>90</v>
      </c>
      <c r="G13" s="17" t="s">
        <v>135</v>
      </c>
      <c r="H13" s="18" t="s">
        <v>59</v>
      </c>
      <c r="I13" s="17" t="s">
        <v>75</v>
      </c>
      <c r="J13" s="17" t="s">
        <v>102</v>
      </c>
      <c r="K13" s="19" t="n">
        <v>2.5026</v>
      </c>
      <c r="L13" s="20" t="n">
        <f aca="false">ROUND(INDEX(Premissas!$C$6:$C$11,MATCH(C13,Premissas!$B$6:$B$11,0))*K13,-3)</f>
        <v>2453000</v>
      </c>
      <c r="M13" s="17" t="str">
        <f aca="false">IF(L13&lt;1000000,"Até R$ 1 mi",IF(L13&lt;1500000,"R$ 1–1,5 mi",IF(L13&lt;2000000,"R$ 1,5–2 mi","Acima de R$ 2 mi")))</f>
        <v>Acima de R$ 2 mi</v>
      </c>
    </row>
    <row r="14" customFormat="false" ht="15" hidden="false" customHeight="false" outlineLevel="0" collapsed="false">
      <c r="A14" s="17" t="s">
        <v>143</v>
      </c>
      <c r="B14" s="17" t="s">
        <v>144</v>
      </c>
      <c r="C14" s="17" t="s">
        <v>49</v>
      </c>
      <c r="D14" s="17" t="s">
        <v>64</v>
      </c>
      <c r="E14" s="17" t="s">
        <v>72</v>
      </c>
      <c r="F14" s="18" t="s">
        <v>87</v>
      </c>
      <c r="G14" s="17" t="s">
        <v>138</v>
      </c>
      <c r="H14" s="18" t="s">
        <v>46</v>
      </c>
      <c r="I14" s="17" t="s">
        <v>71</v>
      </c>
      <c r="J14" s="17" t="s">
        <v>99</v>
      </c>
      <c r="K14" s="19" t="n">
        <v>1.8462</v>
      </c>
      <c r="L14" s="20" t="n">
        <f aca="false">ROUND(INDEX(Premissas!$C$6:$C$11,MATCH(C14,Premissas!$B$6:$B$11,0))*K14,-3)</f>
        <v>1772000</v>
      </c>
      <c r="M14" s="17" t="str">
        <f aca="false">IF(L14&lt;1000000,"Até R$ 1 mi",IF(L14&lt;1500000,"R$ 1–1,5 mi",IF(L14&lt;2000000,"R$ 1,5–2 mi","Acima de R$ 2 mi")))</f>
        <v>R$ 1,5–2 mi</v>
      </c>
    </row>
    <row r="15" customFormat="false" ht="15" hidden="false" customHeight="false" outlineLevel="0" collapsed="false">
      <c r="A15" s="17" t="s">
        <v>145</v>
      </c>
      <c r="B15" s="17" t="s">
        <v>146</v>
      </c>
      <c r="C15" s="17" t="s">
        <v>47</v>
      </c>
      <c r="D15" s="17" t="s">
        <v>66</v>
      </c>
      <c r="E15" s="17" t="s">
        <v>72</v>
      </c>
      <c r="F15" s="18" t="s">
        <v>90</v>
      </c>
      <c r="G15" s="17" t="s">
        <v>123</v>
      </c>
      <c r="H15" s="18" t="s">
        <v>65</v>
      </c>
      <c r="I15" s="17" t="s">
        <v>77</v>
      </c>
      <c r="J15" s="17" t="s">
        <v>98</v>
      </c>
      <c r="K15" s="19" t="n">
        <v>2.4479</v>
      </c>
      <c r="L15" s="20" t="n">
        <f aca="false">ROUND(INDEX(Premissas!$C$6:$C$11,MATCH(C15,Premissas!$B$6:$B$11,0))*K15,-3)</f>
        <v>1983000</v>
      </c>
      <c r="M15" s="17" t="str">
        <f aca="false">IF(L15&lt;1000000,"Até R$ 1 mi",IF(L15&lt;1500000,"R$ 1–1,5 mi",IF(L15&lt;2000000,"R$ 1,5–2 mi","Acima de R$ 2 mi")))</f>
        <v>R$ 1,5–2 mi</v>
      </c>
    </row>
    <row r="16" customFormat="false" ht="15" hidden="false" customHeight="false" outlineLevel="0" collapsed="false">
      <c r="A16" s="17" t="s">
        <v>147</v>
      </c>
      <c r="B16" s="17" t="s">
        <v>148</v>
      </c>
      <c r="C16" s="17" t="s">
        <v>45</v>
      </c>
      <c r="D16" s="17" t="s">
        <v>62</v>
      </c>
      <c r="E16" s="17" t="s">
        <v>72</v>
      </c>
      <c r="F16" s="18" t="s">
        <v>89</v>
      </c>
      <c r="G16" s="17" t="s">
        <v>138</v>
      </c>
      <c r="H16" s="18" t="s">
        <v>46</v>
      </c>
      <c r="I16" s="17" t="s">
        <v>71</v>
      </c>
      <c r="J16" s="17" t="s">
        <v>96</v>
      </c>
      <c r="K16" s="19" t="n">
        <v>1.3271</v>
      </c>
      <c r="L16" s="20" t="n">
        <f aca="false">ROUND(INDEX(Premissas!$C$6:$C$11,MATCH(C16,Premissas!$B$6:$B$11,0))*K16,-3)</f>
        <v>1301000</v>
      </c>
      <c r="M16" s="17" t="str">
        <f aca="false">IF(L16&lt;1000000,"Até R$ 1 mi",IF(L16&lt;1500000,"R$ 1–1,5 mi",IF(L16&lt;2000000,"R$ 1,5–2 mi","Acima de R$ 2 mi")))</f>
        <v>R$ 1–1,5 mi</v>
      </c>
    </row>
    <row r="17" customFormat="false" ht="15" hidden="false" customHeight="false" outlineLevel="0" collapsed="false">
      <c r="A17" s="17" t="s">
        <v>149</v>
      </c>
      <c r="B17" s="17" t="s">
        <v>55</v>
      </c>
      <c r="C17" s="17" t="s">
        <v>55</v>
      </c>
      <c r="D17" s="17" t="s">
        <v>66</v>
      </c>
      <c r="E17" s="17" t="s">
        <v>72</v>
      </c>
      <c r="F17" s="18" t="s">
        <v>85</v>
      </c>
      <c r="G17" s="17" t="s">
        <v>114</v>
      </c>
      <c r="H17" s="18" t="s">
        <v>61</v>
      </c>
      <c r="I17" s="17" t="s">
        <v>77</v>
      </c>
      <c r="J17" s="17" t="s">
        <v>103</v>
      </c>
      <c r="K17" s="19" t="n">
        <v>1</v>
      </c>
      <c r="L17" s="20" t="n">
        <f aca="false">ROUND(INDEX(Premissas!$C$6:$C$11,MATCH(C17,Premissas!$B$6:$B$11,0))*K17,-3)</f>
        <v>580000</v>
      </c>
      <c r="M17" s="17" t="str">
        <f aca="false">IF(L17&lt;1000000,"Até R$ 1 mi",IF(L17&lt;1500000,"R$ 1–1,5 mi",IF(L17&lt;2000000,"R$ 1,5–2 mi","Acima de R$ 2 mi")))</f>
        <v>Até R$ 1 mi</v>
      </c>
    </row>
    <row r="18" customFormat="false" ht="15" hidden="false" customHeight="false" outlineLevel="0" collapsed="false">
      <c r="A18" s="17" t="s">
        <v>150</v>
      </c>
      <c r="B18" s="17" t="s">
        <v>151</v>
      </c>
      <c r="C18" s="17" t="s">
        <v>53</v>
      </c>
      <c r="D18" s="17" t="s">
        <v>62</v>
      </c>
      <c r="E18" s="17" t="s">
        <v>72</v>
      </c>
      <c r="F18" s="18" t="s">
        <v>90</v>
      </c>
      <c r="G18" s="17" t="s">
        <v>120</v>
      </c>
      <c r="H18" s="18" t="s">
        <v>50</v>
      </c>
      <c r="I18" s="17" t="s">
        <v>71</v>
      </c>
      <c r="J18" s="17" t="s">
        <v>100</v>
      </c>
      <c r="K18" s="19" t="n">
        <v>2.3462</v>
      </c>
      <c r="L18" s="20" t="n">
        <f aca="false">ROUND(INDEX(Premissas!$C$6:$C$11,MATCH(C18,Premissas!$B$6:$B$11,0))*K18,-3)</f>
        <v>1924000</v>
      </c>
      <c r="M18" s="17" t="str">
        <f aca="false">IF(L18&lt;1000000,"Até R$ 1 mi",IF(L18&lt;1500000,"R$ 1–1,5 mi",IF(L18&lt;2000000,"R$ 1,5–2 mi","Acima de R$ 2 mi")))</f>
        <v>R$ 1,5–2 mi</v>
      </c>
    </row>
    <row r="19" customFormat="false" ht="15" hidden="false" customHeight="false" outlineLevel="0" collapsed="false">
      <c r="A19" s="17" t="s">
        <v>152</v>
      </c>
      <c r="B19" s="17" t="s">
        <v>153</v>
      </c>
      <c r="C19" s="17" t="s">
        <v>51</v>
      </c>
      <c r="D19" s="17" t="s">
        <v>64</v>
      </c>
      <c r="E19" s="17" t="s">
        <v>76</v>
      </c>
      <c r="F19" s="18" t="s">
        <v>89</v>
      </c>
      <c r="G19" s="17" t="s">
        <v>129</v>
      </c>
      <c r="H19" s="18" t="s">
        <v>56</v>
      </c>
      <c r="I19" s="17" t="s">
        <v>73</v>
      </c>
      <c r="J19" s="17" t="s">
        <v>102</v>
      </c>
      <c r="K19" s="19" t="n">
        <v>1.0137</v>
      </c>
      <c r="L19" s="20" t="n">
        <f aca="false">ROUND(INDEX(Premissas!$C$6:$C$11,MATCH(C19,Premissas!$B$6:$B$11,0))*K19,-3)</f>
        <v>862000</v>
      </c>
      <c r="M19" s="17" t="str">
        <f aca="false">IF(L19&lt;1000000,"Até R$ 1 mi",IF(L19&lt;1500000,"R$ 1–1,5 mi",IF(L19&lt;2000000,"R$ 1,5–2 mi","Acima de R$ 2 mi")))</f>
        <v>Até R$ 1 mi</v>
      </c>
    </row>
    <row r="20" customFormat="false" ht="15" hidden="false" customHeight="false" outlineLevel="0" collapsed="false">
      <c r="A20" s="17" t="s">
        <v>154</v>
      </c>
      <c r="B20" s="17" t="s">
        <v>155</v>
      </c>
      <c r="C20" s="17" t="s">
        <v>47</v>
      </c>
      <c r="D20" s="17" t="s">
        <v>66</v>
      </c>
      <c r="E20" s="17" t="s">
        <v>72</v>
      </c>
      <c r="F20" s="18" t="s">
        <v>87</v>
      </c>
      <c r="G20" s="17" t="s">
        <v>138</v>
      </c>
      <c r="H20" s="18" t="s">
        <v>46</v>
      </c>
      <c r="I20" s="17" t="s">
        <v>71</v>
      </c>
      <c r="J20" s="17" t="s">
        <v>96</v>
      </c>
      <c r="K20" s="19" t="n">
        <v>1.1888</v>
      </c>
      <c r="L20" s="20" t="n">
        <f aca="false">ROUND(INDEX(Premissas!$C$6:$C$11,MATCH(C20,Premissas!$B$6:$B$11,0))*K20,-3)</f>
        <v>963000</v>
      </c>
      <c r="M20" s="17" t="str">
        <f aca="false">IF(L20&lt;1000000,"Até R$ 1 mi",IF(L20&lt;1500000,"R$ 1–1,5 mi",IF(L20&lt;2000000,"R$ 1,5–2 mi","Acima de R$ 2 mi")))</f>
        <v>Até R$ 1 mi</v>
      </c>
    </row>
    <row r="21" customFormat="false" ht="15" hidden="false" customHeight="false" outlineLevel="0" collapsed="false">
      <c r="A21" s="17" t="s">
        <v>156</v>
      </c>
      <c r="B21" s="17" t="s">
        <v>157</v>
      </c>
      <c r="C21" s="17" t="s">
        <v>45</v>
      </c>
      <c r="D21" s="17" t="s">
        <v>62</v>
      </c>
      <c r="E21" s="17" t="s">
        <v>72</v>
      </c>
      <c r="F21" s="18" t="s">
        <v>90</v>
      </c>
      <c r="G21" s="17" t="s">
        <v>120</v>
      </c>
      <c r="H21" s="18" t="s">
        <v>50</v>
      </c>
      <c r="I21" s="17" t="s">
        <v>71</v>
      </c>
      <c r="J21" s="17" t="s">
        <v>101</v>
      </c>
      <c r="K21" s="19" t="n">
        <v>1.6485</v>
      </c>
      <c r="L21" s="20" t="n">
        <f aca="false">ROUND(INDEX(Premissas!$C$6:$C$11,MATCH(C21,Premissas!$B$6:$B$11,0))*K21,-3)</f>
        <v>1616000</v>
      </c>
      <c r="M21" s="17" t="str">
        <f aca="false">IF(L21&lt;1000000,"Até R$ 1 mi",IF(L21&lt;1500000,"R$ 1–1,5 mi",IF(L21&lt;2000000,"R$ 1,5–2 mi","Acima de R$ 2 mi")))</f>
        <v>R$ 1,5–2 mi</v>
      </c>
    </row>
    <row r="22" customFormat="false" ht="15" hidden="false" customHeight="false" outlineLevel="0" collapsed="false">
      <c r="A22" s="17" t="s">
        <v>158</v>
      </c>
      <c r="B22" s="17" t="s">
        <v>49</v>
      </c>
      <c r="C22" s="17" t="s">
        <v>49</v>
      </c>
      <c r="D22" s="17" t="s">
        <v>64</v>
      </c>
      <c r="E22" s="17" t="s">
        <v>72</v>
      </c>
      <c r="F22" s="18" t="s">
        <v>83</v>
      </c>
      <c r="G22" s="17" t="s">
        <v>117</v>
      </c>
      <c r="H22" s="18" t="s">
        <v>52</v>
      </c>
      <c r="I22" s="17" t="s">
        <v>75</v>
      </c>
      <c r="J22" s="17" t="s">
        <v>103</v>
      </c>
      <c r="K22" s="19" t="n">
        <v>1.007</v>
      </c>
      <c r="L22" s="20" t="n">
        <f aca="false">ROUND(INDEX(Premissas!$C$6:$C$11,MATCH(C22,Premissas!$B$6:$B$11,0))*K22,-3)</f>
        <v>967000</v>
      </c>
      <c r="M22" s="17" t="str">
        <f aca="false">IF(L22&lt;1000000,"Até R$ 1 mi",IF(L22&lt;1500000,"R$ 1–1,5 mi",IF(L22&lt;2000000,"R$ 1,5–2 mi","Acima de R$ 2 mi")))</f>
        <v>Até R$ 1 mi</v>
      </c>
    </row>
    <row r="23" customFormat="false" ht="15" hidden="false" customHeight="false" outlineLevel="0" collapsed="false">
      <c r="A23" s="17" t="s">
        <v>159</v>
      </c>
      <c r="B23" s="17" t="s">
        <v>160</v>
      </c>
      <c r="C23" s="17" t="s">
        <v>55</v>
      </c>
      <c r="D23" s="17" t="s">
        <v>66</v>
      </c>
      <c r="E23" s="17" t="s">
        <v>76</v>
      </c>
      <c r="F23" s="18" t="s">
        <v>91</v>
      </c>
      <c r="G23" s="17" t="s">
        <v>138</v>
      </c>
      <c r="H23" s="18" t="s">
        <v>46</v>
      </c>
      <c r="I23" s="17" t="s">
        <v>71</v>
      </c>
      <c r="J23" s="17" t="s">
        <v>102</v>
      </c>
      <c r="K23" s="19" t="n">
        <v>1.4686</v>
      </c>
      <c r="L23" s="20" t="n">
        <f aca="false">ROUND(INDEX(Premissas!$C$6:$C$11,MATCH(C23,Premissas!$B$6:$B$11,0))*K23,-3)</f>
        <v>852000</v>
      </c>
      <c r="M23" s="17" t="str">
        <f aca="false">IF(L23&lt;1000000,"Até R$ 1 mi",IF(L23&lt;1500000,"R$ 1–1,5 mi",IF(L23&lt;2000000,"R$ 1,5–2 mi","Acima de R$ 2 mi")))</f>
        <v>Até R$ 1 mi</v>
      </c>
    </row>
    <row r="24" customFormat="false" ht="15" hidden="false" customHeight="false" outlineLevel="0" collapsed="false">
      <c r="A24" s="17" t="s">
        <v>161</v>
      </c>
      <c r="B24" s="17" t="s">
        <v>162</v>
      </c>
      <c r="C24" s="17" t="s">
        <v>45</v>
      </c>
      <c r="D24" s="17" t="s">
        <v>62</v>
      </c>
      <c r="E24" s="17" t="s">
        <v>72</v>
      </c>
      <c r="F24" s="18" t="s">
        <v>90</v>
      </c>
      <c r="G24" s="17" t="s">
        <v>163</v>
      </c>
      <c r="H24" s="18" t="s">
        <v>63</v>
      </c>
      <c r="I24" s="17" t="s">
        <v>77</v>
      </c>
      <c r="J24" s="17" t="s">
        <v>99</v>
      </c>
      <c r="K24" s="19" t="n">
        <v>2.8037</v>
      </c>
      <c r="L24" s="20" t="n">
        <f aca="false">ROUND(INDEX(Premissas!$C$6:$C$11,MATCH(C24,Premissas!$B$6:$B$11,0))*K24,-3)</f>
        <v>2748000</v>
      </c>
      <c r="M24" s="17" t="str">
        <f aca="false">IF(L24&lt;1000000,"Até R$ 1 mi",IF(L24&lt;1500000,"R$ 1–1,5 mi",IF(L24&lt;2000000,"R$ 1,5–2 mi","Acima de R$ 2 mi")))</f>
        <v>Acima de R$ 2 mi</v>
      </c>
    </row>
    <row r="25" customFormat="false" ht="15" hidden="false" customHeight="false" outlineLevel="0" collapsed="false">
      <c r="A25" s="17" t="s">
        <v>164</v>
      </c>
      <c r="B25" s="17" t="s">
        <v>165</v>
      </c>
      <c r="C25" s="17" t="s">
        <v>51</v>
      </c>
      <c r="D25" s="17" t="s">
        <v>64</v>
      </c>
      <c r="E25" s="17" t="s">
        <v>76</v>
      </c>
      <c r="F25" s="18" t="s">
        <v>89</v>
      </c>
      <c r="G25" s="17" t="s">
        <v>126</v>
      </c>
      <c r="H25" s="18" t="s">
        <v>48</v>
      </c>
      <c r="I25" s="17" t="s">
        <v>71</v>
      </c>
      <c r="J25" s="17" t="s">
        <v>100</v>
      </c>
      <c r="K25" s="19" t="n">
        <v>1.1891</v>
      </c>
      <c r="L25" s="20" t="n">
        <f aca="false">ROUND(INDEX(Premissas!$C$6:$C$11,MATCH(C25,Premissas!$B$6:$B$11,0))*K25,-3)</f>
        <v>1011000</v>
      </c>
      <c r="M25" s="17" t="str">
        <f aca="false">IF(L25&lt;1000000,"Até R$ 1 mi",IF(L25&lt;1500000,"R$ 1–1,5 mi",IF(L25&lt;2000000,"R$ 1,5–2 mi","Acima de R$ 2 mi")))</f>
        <v>R$ 1–1,5 mi</v>
      </c>
    </row>
    <row r="26" customFormat="false" ht="15" hidden="false" customHeight="false" outlineLevel="0" collapsed="false">
      <c r="A26" s="17" t="s">
        <v>166</v>
      </c>
      <c r="B26" s="17" t="s">
        <v>47</v>
      </c>
      <c r="C26" s="17" t="s">
        <v>47</v>
      </c>
      <c r="D26" s="17" t="s">
        <v>66</v>
      </c>
      <c r="E26" s="17" t="s">
        <v>72</v>
      </c>
      <c r="F26" s="18" t="s">
        <v>85</v>
      </c>
      <c r="G26" s="17" t="s">
        <v>111</v>
      </c>
      <c r="H26" s="18" t="s">
        <v>46</v>
      </c>
      <c r="I26" s="17" t="s">
        <v>71</v>
      </c>
      <c r="J26" s="17" t="s">
        <v>96</v>
      </c>
      <c r="K26" s="19" t="n">
        <v>1</v>
      </c>
      <c r="L26" s="20" t="n">
        <f aca="false">ROUND(INDEX(Premissas!$C$6:$C$11,MATCH(C26,Premissas!$B$6:$B$11,0))*K26,-3)</f>
        <v>810000</v>
      </c>
      <c r="M26" s="17" t="str">
        <f aca="false">IF(L26&lt;1000000,"Até R$ 1 mi",IF(L26&lt;1500000,"R$ 1–1,5 mi",IF(L26&lt;2000000,"R$ 1,5–2 mi","Acima de R$ 2 mi")))</f>
        <v>Até R$ 1 mi</v>
      </c>
    </row>
    <row r="27" customFormat="false" ht="15" hidden="false" customHeight="false" outlineLevel="0" collapsed="false">
      <c r="A27" s="17" t="s">
        <v>167</v>
      </c>
      <c r="B27" s="17" t="s">
        <v>168</v>
      </c>
      <c r="C27" s="17" t="s">
        <v>53</v>
      </c>
      <c r="D27" s="17" t="s">
        <v>62</v>
      </c>
      <c r="E27" s="17" t="s">
        <v>72</v>
      </c>
      <c r="F27" s="18" t="s">
        <v>90</v>
      </c>
      <c r="G27" s="17" t="s">
        <v>111</v>
      </c>
      <c r="H27" s="18" t="s">
        <v>46</v>
      </c>
      <c r="I27" s="17" t="s">
        <v>71</v>
      </c>
      <c r="J27" s="17" t="s">
        <v>102</v>
      </c>
      <c r="K27" s="19" t="n">
        <v>2.4835</v>
      </c>
      <c r="L27" s="20" t="n">
        <f aca="false">ROUND(INDEX(Premissas!$C$6:$C$11,MATCH(C27,Premissas!$B$6:$B$11,0))*K27,-3)</f>
        <v>2036000</v>
      </c>
      <c r="M27" s="17" t="str">
        <f aca="false">IF(L27&lt;1000000,"Até R$ 1 mi",IF(L27&lt;1500000,"R$ 1–1,5 mi",IF(L27&lt;2000000,"R$ 1,5–2 mi","Acima de R$ 2 mi")))</f>
        <v>Acima de R$ 2 mi</v>
      </c>
    </row>
    <row r="28" customFormat="false" ht="15" hidden="false" customHeight="false" outlineLevel="0" collapsed="false">
      <c r="A28" s="17" t="s">
        <v>169</v>
      </c>
      <c r="B28" s="17" t="s">
        <v>170</v>
      </c>
      <c r="C28" s="17" t="s">
        <v>45</v>
      </c>
      <c r="D28" s="17" t="s">
        <v>62</v>
      </c>
      <c r="E28" s="17" t="s">
        <v>72</v>
      </c>
      <c r="F28" s="18" t="s">
        <v>87</v>
      </c>
      <c r="G28" s="17" t="s">
        <v>135</v>
      </c>
      <c r="H28" s="18" t="s">
        <v>59</v>
      </c>
      <c r="I28" s="17" t="s">
        <v>75</v>
      </c>
      <c r="J28" s="17" t="s">
        <v>99</v>
      </c>
      <c r="K28" s="19" t="n">
        <v>1.2451</v>
      </c>
      <c r="L28" s="20" t="n">
        <f aca="false">ROUND(INDEX(Premissas!$C$6:$C$11,MATCH(C28,Premissas!$B$6:$B$11,0))*K28,-3)</f>
        <v>1220000</v>
      </c>
      <c r="M28" s="17" t="str">
        <f aca="false">IF(L28&lt;1000000,"Até R$ 1 mi",IF(L28&lt;1500000,"R$ 1–1,5 mi",IF(L28&lt;2000000,"R$ 1,5–2 mi","Acima de R$ 2 mi")))</f>
        <v>R$ 1–1,5 mi</v>
      </c>
    </row>
    <row r="29" customFormat="false" ht="15" hidden="false" customHeight="false" outlineLevel="0" collapsed="false">
      <c r="A29" s="17" t="s">
        <v>171</v>
      </c>
      <c r="B29" s="17" t="s">
        <v>172</v>
      </c>
      <c r="C29" s="17" t="s">
        <v>49</v>
      </c>
      <c r="D29" s="17" t="s">
        <v>64</v>
      </c>
      <c r="E29" s="17" t="s">
        <v>74</v>
      </c>
      <c r="F29" s="18" t="s">
        <v>89</v>
      </c>
      <c r="G29" s="17" t="s">
        <v>138</v>
      </c>
      <c r="H29" s="18" t="s">
        <v>46</v>
      </c>
      <c r="I29" s="17" t="s">
        <v>71</v>
      </c>
      <c r="J29" s="17" t="s">
        <v>101</v>
      </c>
      <c r="K29" s="19" t="n">
        <v>1.528</v>
      </c>
      <c r="L29" s="20" t="n">
        <f aca="false">ROUND(INDEX(Premissas!$C$6:$C$11,MATCH(C29,Premissas!$B$6:$B$11,0))*K29,-3)</f>
        <v>1467000</v>
      </c>
      <c r="M29" s="17" t="str">
        <f aca="false">IF(L29&lt;1000000,"Até R$ 1 mi",IF(L29&lt;1500000,"R$ 1–1,5 mi",IF(L29&lt;2000000,"R$ 1,5–2 mi","Acima de R$ 2 mi")))</f>
        <v>R$ 1–1,5 mi</v>
      </c>
    </row>
    <row r="30" customFormat="false" ht="15" hidden="false" customHeight="false" outlineLevel="0" collapsed="false">
      <c r="A30" s="17" t="s">
        <v>173</v>
      </c>
      <c r="B30" s="17" t="s">
        <v>174</v>
      </c>
      <c r="C30" s="17" t="s">
        <v>55</v>
      </c>
      <c r="D30" s="17" t="s">
        <v>66</v>
      </c>
      <c r="E30" s="17" t="s">
        <v>72</v>
      </c>
      <c r="F30" s="18" t="s">
        <v>87</v>
      </c>
      <c r="G30" s="17" t="s">
        <v>175</v>
      </c>
      <c r="H30" s="18" t="s">
        <v>46</v>
      </c>
      <c r="I30" s="17" t="s">
        <v>71</v>
      </c>
      <c r="J30" s="17" t="s">
        <v>102</v>
      </c>
      <c r="K30" s="19" t="n">
        <v>1.3922</v>
      </c>
      <c r="L30" s="20" t="n">
        <f aca="false">ROUND(INDEX(Premissas!$C$6:$C$11,MATCH(C30,Premissas!$B$6:$B$11,0))*K30,-3)</f>
        <v>807000</v>
      </c>
      <c r="M30" s="17" t="str">
        <f aca="false">IF(L30&lt;1000000,"Até R$ 1 mi",IF(L30&lt;1500000,"R$ 1–1,5 mi",IF(L30&lt;2000000,"R$ 1,5–2 mi","Acima de R$ 2 mi")))</f>
        <v>Até R$ 1 mi</v>
      </c>
    </row>
    <row r="31" customFormat="false" ht="15" hidden="false" customHeight="false" outlineLevel="0" collapsed="false">
      <c r="A31" s="17" t="s">
        <v>176</v>
      </c>
      <c r="B31" s="17" t="s">
        <v>177</v>
      </c>
      <c r="C31" s="17" t="s">
        <v>51</v>
      </c>
      <c r="D31" s="17" t="s">
        <v>64</v>
      </c>
      <c r="E31" s="17" t="s">
        <v>76</v>
      </c>
      <c r="F31" s="18" t="s">
        <v>91</v>
      </c>
      <c r="G31" s="17" t="s">
        <v>120</v>
      </c>
      <c r="H31" s="18" t="s">
        <v>50</v>
      </c>
      <c r="I31" s="17" t="s">
        <v>71</v>
      </c>
      <c r="J31" s="17" t="s">
        <v>98</v>
      </c>
      <c r="K31" s="19" t="n">
        <v>1.8306</v>
      </c>
      <c r="L31" s="20" t="n">
        <f aca="false">ROUND(INDEX(Premissas!$C$6:$C$11,MATCH(C31,Premissas!$B$6:$B$11,0))*K31,-3)</f>
        <v>1556000</v>
      </c>
      <c r="M31" s="17" t="str">
        <f aca="false">IF(L31&lt;1000000,"Até R$ 1 mi",IF(L31&lt;1500000,"R$ 1–1,5 mi",IF(L31&lt;2000000,"R$ 1,5–2 mi","Acima de R$ 2 mi")))</f>
        <v>R$ 1,5–2 mi</v>
      </c>
    </row>
    <row r="32" customFormat="false" ht="15" hidden="false" customHeight="false" outlineLevel="0" collapsed="false">
      <c r="A32" s="17" t="s">
        <v>178</v>
      </c>
      <c r="B32" s="17" t="s">
        <v>179</v>
      </c>
      <c r="C32" s="17" t="s">
        <v>45</v>
      </c>
      <c r="D32" s="17" t="s">
        <v>62</v>
      </c>
      <c r="E32" s="17" t="s">
        <v>72</v>
      </c>
      <c r="F32" s="18" t="s">
        <v>90</v>
      </c>
      <c r="G32" s="17" t="s">
        <v>180</v>
      </c>
      <c r="H32" s="18" t="s">
        <v>54</v>
      </c>
      <c r="I32" s="17" t="s">
        <v>73</v>
      </c>
      <c r="J32" s="17" t="s">
        <v>96</v>
      </c>
      <c r="K32" s="19" t="n">
        <v>1.2928</v>
      </c>
      <c r="L32" s="20" t="n">
        <f aca="false">ROUND(INDEX(Premissas!$C$6:$C$11,MATCH(C32,Premissas!$B$6:$B$11,0))*K32,-3)</f>
        <v>1267000</v>
      </c>
      <c r="M32" s="17" t="str">
        <f aca="false">IF(L32&lt;1000000,"Até R$ 1 mi",IF(L32&lt;1500000,"R$ 1–1,5 mi",IF(L32&lt;2000000,"R$ 1,5–2 mi","Acima de R$ 2 mi")))</f>
        <v>R$ 1–1,5 mi</v>
      </c>
    </row>
    <row r="33" customFormat="false" ht="15" hidden="false" customHeight="false" outlineLevel="0" collapsed="false">
      <c r="A33" s="17" t="s">
        <v>181</v>
      </c>
      <c r="B33" s="17" t="s">
        <v>155</v>
      </c>
      <c r="C33" s="17" t="s">
        <v>47</v>
      </c>
      <c r="D33" s="17" t="s">
        <v>66</v>
      </c>
      <c r="E33" s="17" t="s">
        <v>72</v>
      </c>
      <c r="F33" s="18" t="s">
        <v>89</v>
      </c>
      <c r="G33" s="17" t="s">
        <v>138</v>
      </c>
      <c r="H33" s="18" t="s">
        <v>46</v>
      </c>
      <c r="I33" s="17" t="s">
        <v>71</v>
      </c>
      <c r="J33" s="17" t="s">
        <v>103</v>
      </c>
      <c r="K33" s="19" t="n">
        <v>1.2786</v>
      </c>
      <c r="L33" s="20" t="n">
        <f aca="false">ROUND(INDEX(Premissas!$C$6:$C$11,MATCH(C33,Premissas!$B$6:$B$11,0))*K33,-3)</f>
        <v>1036000</v>
      </c>
      <c r="M33" s="17" t="str">
        <f aca="false">IF(L33&lt;1000000,"Até R$ 1 mi",IF(L33&lt;1500000,"R$ 1–1,5 mi",IF(L33&lt;2000000,"R$ 1,5–2 mi","Acima de R$ 2 mi")))</f>
        <v>R$ 1–1,5 mi</v>
      </c>
    </row>
    <row r="34" customFormat="false" ht="15" hidden="false" customHeight="false" outlineLevel="0" collapsed="false">
      <c r="A34" s="17" t="s">
        <v>182</v>
      </c>
      <c r="B34" s="17" t="s">
        <v>55</v>
      </c>
      <c r="C34" s="17" t="s">
        <v>55</v>
      </c>
      <c r="D34" s="17" t="s">
        <v>66</v>
      </c>
      <c r="E34" s="17" t="s">
        <v>72</v>
      </c>
      <c r="F34" s="18" t="s">
        <v>87</v>
      </c>
      <c r="G34" s="17" t="s">
        <v>138</v>
      </c>
      <c r="H34" s="18" t="s">
        <v>46</v>
      </c>
      <c r="I34" s="17" t="s">
        <v>71</v>
      </c>
      <c r="J34" s="17" t="s">
        <v>100</v>
      </c>
      <c r="K34" s="19" t="n">
        <v>1.146</v>
      </c>
      <c r="L34" s="20" t="n">
        <f aca="false">ROUND(INDEX(Premissas!$C$6:$C$11,MATCH(C34,Premissas!$B$6:$B$11,0))*K34,-3)</f>
        <v>665000</v>
      </c>
      <c r="M34" s="17" t="str">
        <f aca="false">IF(L34&lt;1000000,"Até R$ 1 mi",IF(L34&lt;1500000,"R$ 1–1,5 mi",IF(L34&lt;2000000,"R$ 1,5–2 mi","Acima de R$ 2 mi")))</f>
        <v>Até R$ 1 mi</v>
      </c>
    </row>
    <row r="35" customFormat="false" ht="15" hidden="false" customHeight="false" outlineLevel="0" collapsed="false">
      <c r="A35" s="17" t="s">
        <v>183</v>
      </c>
      <c r="B35" s="17" t="s">
        <v>51</v>
      </c>
      <c r="C35" s="17" t="s">
        <v>51</v>
      </c>
      <c r="D35" s="17" t="s">
        <v>64</v>
      </c>
      <c r="E35" s="17" t="s">
        <v>76</v>
      </c>
      <c r="F35" s="18" t="s">
        <v>91</v>
      </c>
      <c r="G35" s="17" t="s">
        <v>120</v>
      </c>
      <c r="H35" s="18" t="s">
        <v>50</v>
      </c>
      <c r="I35" s="17" t="s">
        <v>71</v>
      </c>
      <c r="J35" s="17" t="s">
        <v>102</v>
      </c>
      <c r="K35" s="19" t="n">
        <v>1</v>
      </c>
      <c r="L35" s="20" t="n">
        <f aca="false">ROUND(INDEX(Premissas!$C$6:$C$11,MATCH(C35,Premissas!$B$6:$B$11,0))*K35,-3)</f>
        <v>850000</v>
      </c>
      <c r="M35" s="17" t="str">
        <f aca="false">IF(L35&lt;1000000,"Até R$ 1 mi",IF(L35&lt;1500000,"R$ 1–1,5 mi",IF(L35&lt;2000000,"R$ 1,5–2 mi","Acima de R$ 2 mi")))</f>
        <v>Até R$ 1 mi</v>
      </c>
    </row>
    <row r="36" customFormat="false" ht="15" hidden="false" customHeight="false" outlineLevel="0" collapsed="false">
      <c r="A36" s="17" t="s">
        <v>184</v>
      </c>
      <c r="B36" s="17" t="s">
        <v>185</v>
      </c>
      <c r="C36" s="17" t="s">
        <v>49</v>
      </c>
      <c r="D36" s="17" t="s">
        <v>64</v>
      </c>
      <c r="E36" s="17" t="s">
        <v>72</v>
      </c>
      <c r="F36" s="18" t="s">
        <v>90</v>
      </c>
      <c r="G36" s="17" t="s">
        <v>126</v>
      </c>
      <c r="H36" s="18" t="s">
        <v>48</v>
      </c>
      <c r="I36" s="17" t="s">
        <v>71</v>
      </c>
      <c r="J36" s="17" t="s">
        <v>99</v>
      </c>
      <c r="K36" s="19" t="n">
        <v>1.5664</v>
      </c>
      <c r="L36" s="20" t="n">
        <f aca="false">ROUND(INDEX(Premissas!$C$6:$C$11,MATCH(C36,Premissas!$B$6:$B$11,0))*K36,-3)</f>
        <v>1504000</v>
      </c>
      <c r="M36" s="17" t="str">
        <f aca="false">IF(L36&lt;1000000,"Até R$ 1 mi",IF(L36&lt;1500000,"R$ 1–1,5 mi",IF(L36&lt;2000000,"R$ 1,5–2 mi","Acima de R$ 2 mi")))</f>
        <v>R$ 1,5–2 mi</v>
      </c>
    </row>
    <row r="37" customFormat="false" ht="15" hidden="false" customHeight="false" outlineLevel="0" collapsed="false">
      <c r="A37" s="17" t="s">
        <v>186</v>
      </c>
      <c r="B37" s="17" t="s">
        <v>134</v>
      </c>
      <c r="C37" s="17" t="s">
        <v>53</v>
      </c>
      <c r="D37" s="17" t="s">
        <v>62</v>
      </c>
      <c r="E37" s="17" t="s">
        <v>72</v>
      </c>
      <c r="F37" s="18" t="s">
        <v>85</v>
      </c>
      <c r="G37" s="17" t="s">
        <v>132</v>
      </c>
      <c r="H37" s="18" t="s">
        <v>57</v>
      </c>
      <c r="I37" s="17" t="s">
        <v>73</v>
      </c>
      <c r="J37" s="17" t="s">
        <v>97</v>
      </c>
      <c r="K37" s="19" t="n">
        <v>1.0587</v>
      </c>
      <c r="L37" s="20" t="n">
        <f aca="false">ROUND(INDEX(Premissas!$C$6:$C$11,MATCH(C37,Premissas!$B$6:$B$11,0))*K37,-3)</f>
        <v>868000</v>
      </c>
      <c r="M37" s="17" t="str">
        <f aca="false">IF(L37&lt;1000000,"Até R$ 1 mi",IF(L37&lt;1500000,"R$ 1–1,5 mi",IF(L37&lt;2000000,"R$ 1,5–2 mi","Acima de R$ 2 mi")))</f>
        <v>Até R$ 1 mi</v>
      </c>
    </row>
    <row r="38" customFormat="false" ht="15" hidden="false" customHeight="false" outlineLevel="0" collapsed="false">
      <c r="A38" s="17" t="s">
        <v>187</v>
      </c>
      <c r="B38" s="17" t="s">
        <v>188</v>
      </c>
      <c r="C38" s="17" t="s">
        <v>45</v>
      </c>
      <c r="D38" s="17" t="s">
        <v>62</v>
      </c>
      <c r="E38" s="17" t="s">
        <v>72</v>
      </c>
      <c r="F38" s="18" t="s">
        <v>90</v>
      </c>
      <c r="G38" s="17" t="s">
        <v>138</v>
      </c>
      <c r="H38" s="18" t="s">
        <v>46</v>
      </c>
      <c r="I38" s="17" t="s">
        <v>71</v>
      </c>
      <c r="J38" s="17" t="s">
        <v>102</v>
      </c>
      <c r="K38" s="19" t="n">
        <v>2.0592</v>
      </c>
      <c r="L38" s="20" t="n">
        <f aca="false">ROUND(INDEX(Premissas!$C$6:$C$11,MATCH(C38,Premissas!$B$6:$B$11,0))*K38,-3)</f>
        <v>2018000</v>
      </c>
      <c r="M38" s="17" t="str">
        <f aca="false">IF(L38&lt;1000000,"Até R$ 1 mi",IF(L38&lt;1500000,"R$ 1–1,5 mi",IF(L38&lt;2000000,"R$ 1,5–2 mi","Acima de R$ 2 mi")))</f>
        <v>Acima de R$ 2 mi</v>
      </c>
    </row>
    <row r="39" customFormat="false" ht="15" hidden="false" customHeight="false" outlineLevel="0" collapsed="false">
      <c r="A39" s="17" t="s">
        <v>189</v>
      </c>
      <c r="B39" s="17" t="s">
        <v>116</v>
      </c>
      <c r="C39" s="17" t="s">
        <v>47</v>
      </c>
      <c r="D39" s="17" t="s">
        <v>66</v>
      </c>
      <c r="E39" s="17" t="s">
        <v>72</v>
      </c>
      <c r="F39" s="18" t="s">
        <v>89</v>
      </c>
      <c r="G39" s="17" t="s">
        <v>138</v>
      </c>
      <c r="H39" s="18" t="s">
        <v>46</v>
      </c>
      <c r="I39" s="17" t="s">
        <v>71</v>
      </c>
      <c r="J39" s="17" t="s">
        <v>102</v>
      </c>
      <c r="K39" s="19" t="n">
        <v>1.3509</v>
      </c>
      <c r="L39" s="20" t="n">
        <f aca="false">ROUND(INDEX(Premissas!$C$6:$C$11,MATCH(C39,Premissas!$B$6:$B$11,0))*K39,-3)</f>
        <v>1094000</v>
      </c>
      <c r="M39" s="17" t="str">
        <f aca="false">IF(L39&lt;1000000,"Até R$ 1 mi",IF(L39&lt;1500000,"R$ 1–1,5 mi",IF(L39&lt;2000000,"R$ 1,5–2 mi","Acima de R$ 2 mi")))</f>
        <v>R$ 1–1,5 mi</v>
      </c>
    </row>
    <row r="40" customFormat="false" ht="15" hidden="false" customHeight="false" outlineLevel="0" collapsed="false">
      <c r="A40" s="17" t="s">
        <v>190</v>
      </c>
      <c r="B40" s="17" t="s">
        <v>137</v>
      </c>
      <c r="C40" s="17" t="s">
        <v>55</v>
      </c>
      <c r="D40" s="17" t="s">
        <v>66</v>
      </c>
      <c r="E40" s="17" t="s">
        <v>72</v>
      </c>
      <c r="F40" s="18" t="s">
        <v>90</v>
      </c>
      <c r="G40" s="17" t="s">
        <v>117</v>
      </c>
      <c r="H40" s="18" t="s">
        <v>52</v>
      </c>
      <c r="I40" s="17" t="s">
        <v>75</v>
      </c>
      <c r="J40" s="17" t="s">
        <v>100</v>
      </c>
      <c r="K40" s="19" t="n">
        <v>1.5891</v>
      </c>
      <c r="L40" s="20" t="n">
        <f aca="false">ROUND(INDEX(Premissas!$C$6:$C$11,MATCH(C40,Premissas!$B$6:$B$11,0))*K40,-3)</f>
        <v>922000</v>
      </c>
      <c r="M40" s="17" t="str">
        <f aca="false">IF(L40&lt;1000000,"Até R$ 1 mi",IF(L40&lt;1500000,"R$ 1–1,5 mi",IF(L40&lt;2000000,"R$ 1,5–2 mi","Acima de R$ 2 mi")))</f>
        <v>Até R$ 1 mi</v>
      </c>
    </row>
    <row r="41" customFormat="false" ht="15" hidden="false" customHeight="false" outlineLevel="0" collapsed="false">
      <c r="A41" s="17" t="s">
        <v>191</v>
      </c>
      <c r="B41" s="17" t="s">
        <v>122</v>
      </c>
      <c r="C41" s="17" t="s">
        <v>51</v>
      </c>
      <c r="D41" s="17" t="s">
        <v>64</v>
      </c>
      <c r="E41" s="17" t="s">
        <v>76</v>
      </c>
      <c r="F41" s="18" t="s">
        <v>91</v>
      </c>
      <c r="G41" s="17" t="s">
        <v>120</v>
      </c>
      <c r="H41" s="18" t="s">
        <v>50</v>
      </c>
      <c r="I41" s="17" t="s">
        <v>71</v>
      </c>
      <c r="J41" s="17" t="s">
        <v>95</v>
      </c>
      <c r="K41" s="19" t="n">
        <v>1.1035</v>
      </c>
      <c r="L41" s="20" t="n">
        <f aca="false">ROUND(INDEX(Premissas!$C$6:$C$11,MATCH(C41,Premissas!$B$6:$B$11,0))*K41,-3)</f>
        <v>938000</v>
      </c>
      <c r="M41" s="17" t="str">
        <f aca="false">IF(L41&lt;1000000,"Até R$ 1 mi",IF(L41&lt;1500000,"R$ 1–1,5 mi",IF(L41&lt;2000000,"R$ 1,5–2 mi","Acima de R$ 2 mi")))</f>
        <v>Até R$ 1 mi</v>
      </c>
    </row>
    <row r="42" customFormat="false" ht="15" hidden="false" customHeight="false" outlineLevel="0" collapsed="false">
      <c r="A42" s="17" t="s">
        <v>192</v>
      </c>
      <c r="B42" s="17" t="s">
        <v>193</v>
      </c>
      <c r="C42" s="17" t="s">
        <v>49</v>
      </c>
      <c r="D42" s="17" t="s">
        <v>64</v>
      </c>
      <c r="E42" s="17" t="s">
        <v>72</v>
      </c>
      <c r="F42" s="18" t="s">
        <v>87</v>
      </c>
      <c r="G42" s="17" t="s">
        <v>138</v>
      </c>
      <c r="H42" s="18" t="s">
        <v>46</v>
      </c>
      <c r="I42" s="17" t="s">
        <v>71</v>
      </c>
      <c r="J42" s="17" t="s">
        <v>96</v>
      </c>
      <c r="K42" s="19" t="n">
        <v>1.9021</v>
      </c>
      <c r="L42" s="20" t="n">
        <f aca="false">ROUND(INDEX(Premissas!$C$6:$C$11,MATCH(C42,Premissas!$B$6:$B$11,0))*K42,-3)</f>
        <v>1826000</v>
      </c>
      <c r="M42" s="17" t="str">
        <f aca="false">IF(L42&lt;1000000,"Até R$ 1 mi",IF(L42&lt;1500000,"R$ 1–1,5 mi",IF(L42&lt;2000000,"R$ 1,5–2 mi","Acima de R$ 2 mi")))</f>
        <v>R$ 1,5–2 mi</v>
      </c>
    </row>
    <row r="43" customFormat="false" ht="15" hidden="false" customHeight="false" outlineLevel="0" collapsed="false">
      <c r="A43" s="17" t="s">
        <v>194</v>
      </c>
      <c r="B43" s="17" t="s">
        <v>195</v>
      </c>
      <c r="C43" s="17" t="s">
        <v>45</v>
      </c>
      <c r="D43" s="17" t="s">
        <v>62</v>
      </c>
      <c r="E43" s="17" t="s">
        <v>72</v>
      </c>
      <c r="F43" s="18" t="s">
        <v>90</v>
      </c>
      <c r="G43" s="17" t="s">
        <v>111</v>
      </c>
      <c r="H43" s="18" t="s">
        <v>46</v>
      </c>
      <c r="I43" s="17" t="s">
        <v>71</v>
      </c>
      <c r="J43" s="17" t="s">
        <v>102</v>
      </c>
      <c r="K43" s="19" t="n">
        <v>2.9751</v>
      </c>
      <c r="L43" s="20" t="n">
        <f aca="false">ROUND(INDEX(Premissas!$C$6:$C$11,MATCH(C43,Premissas!$B$6:$B$11,0))*K43,-3)</f>
        <v>2916000</v>
      </c>
      <c r="M43" s="17" t="str">
        <f aca="false">IF(L43&lt;1000000,"Até R$ 1 mi",IF(L43&lt;1500000,"R$ 1–1,5 mi",IF(L43&lt;2000000,"R$ 1,5–2 mi","Acima de R$ 2 mi")))</f>
        <v>Acima de R$ 2 mi</v>
      </c>
    </row>
    <row r="44" customFormat="false" ht="15" hidden="false" customHeight="false" outlineLevel="0" collapsed="false">
      <c r="A44" s="17" t="s">
        <v>196</v>
      </c>
      <c r="B44" s="17" t="s">
        <v>131</v>
      </c>
      <c r="C44" s="17" t="s">
        <v>47</v>
      </c>
      <c r="D44" s="17" t="s">
        <v>66</v>
      </c>
      <c r="E44" s="17" t="s">
        <v>74</v>
      </c>
      <c r="F44" s="18" t="s">
        <v>89</v>
      </c>
      <c r="G44" s="17" t="s">
        <v>132</v>
      </c>
      <c r="H44" s="18" t="s">
        <v>57</v>
      </c>
      <c r="I44" s="17" t="s">
        <v>73</v>
      </c>
      <c r="J44" s="17" t="s">
        <v>101</v>
      </c>
      <c r="K44" s="19" t="n">
        <v>1.2083</v>
      </c>
      <c r="L44" s="20" t="n">
        <f aca="false">ROUND(INDEX(Premissas!$C$6:$C$11,MATCH(C44,Premissas!$B$6:$B$11,0))*K44,-3)</f>
        <v>979000</v>
      </c>
      <c r="M44" s="17" t="str">
        <f aca="false">IF(L44&lt;1000000,"Até R$ 1 mi",IF(L44&lt;1500000,"R$ 1–1,5 mi",IF(L44&lt;2000000,"R$ 1,5–2 mi","Acima de R$ 2 mi")))</f>
        <v>Até R$ 1 mi</v>
      </c>
    </row>
    <row r="45" customFormat="false" ht="15" hidden="false" customHeight="false" outlineLevel="0" collapsed="false">
      <c r="A45" s="17" t="s">
        <v>197</v>
      </c>
      <c r="B45" s="17" t="s">
        <v>174</v>
      </c>
      <c r="C45" s="17" t="s">
        <v>55</v>
      </c>
      <c r="D45" s="17" t="s">
        <v>66</v>
      </c>
      <c r="E45" s="17" t="s">
        <v>72</v>
      </c>
      <c r="F45" s="18" t="s">
        <v>87</v>
      </c>
      <c r="G45" s="17" t="s">
        <v>138</v>
      </c>
      <c r="H45" s="18" t="s">
        <v>46</v>
      </c>
      <c r="I45" s="17" t="s">
        <v>71</v>
      </c>
      <c r="J45" s="17" t="s">
        <v>99</v>
      </c>
      <c r="K45" s="19" t="n">
        <v>1.2292</v>
      </c>
      <c r="L45" s="20" t="n">
        <f aca="false">ROUND(INDEX(Premissas!$C$6:$C$11,MATCH(C45,Premissas!$B$6:$B$11,0))*K45,-3)</f>
        <v>713000</v>
      </c>
      <c r="M45" s="17" t="str">
        <f aca="false">IF(L45&lt;1000000,"Até R$ 1 mi",IF(L45&lt;1500000,"R$ 1–1,5 mi",IF(L45&lt;2000000,"R$ 1,5–2 mi","Acima de R$ 2 mi")))</f>
        <v>Até R$ 1 mi</v>
      </c>
    </row>
    <row r="46" customFormat="false" ht="15" hidden="false" customHeight="false" outlineLevel="0" collapsed="false">
      <c r="A46" s="17" t="s">
        <v>198</v>
      </c>
      <c r="B46" s="17" t="s">
        <v>140</v>
      </c>
      <c r="C46" s="17" t="s">
        <v>51</v>
      </c>
      <c r="D46" s="17" t="s">
        <v>64</v>
      </c>
      <c r="E46" s="17" t="s">
        <v>76</v>
      </c>
      <c r="F46" s="18" t="s">
        <v>91</v>
      </c>
      <c r="G46" s="17" t="s">
        <v>180</v>
      </c>
      <c r="H46" s="18" t="s">
        <v>54</v>
      </c>
      <c r="I46" s="17" t="s">
        <v>73</v>
      </c>
      <c r="J46" s="17" t="s">
        <v>98</v>
      </c>
      <c r="K46" s="19" t="n">
        <v>1.3559</v>
      </c>
      <c r="L46" s="20" t="n">
        <f aca="false">ROUND(INDEX(Premissas!$C$6:$C$11,MATCH(C46,Premissas!$B$6:$B$11,0))*K46,-3)</f>
        <v>1153000</v>
      </c>
      <c r="M46" s="17" t="str">
        <f aca="false">IF(L46&lt;1000000,"Até R$ 1 mi",IF(L46&lt;1500000,"R$ 1–1,5 mi",IF(L46&lt;2000000,"R$ 1,5–2 mi","Acima de R$ 2 mi")))</f>
        <v>R$ 1–1,5 mi</v>
      </c>
    </row>
    <row r="47" customFormat="false" ht="15" hidden="false" customHeight="false" outlineLevel="0" collapsed="false">
      <c r="A47" s="17" t="s">
        <v>199</v>
      </c>
      <c r="B47" s="17" t="s">
        <v>110</v>
      </c>
      <c r="C47" s="17" t="s">
        <v>53</v>
      </c>
      <c r="D47" s="17" t="s">
        <v>62</v>
      </c>
      <c r="E47" s="17" t="s">
        <v>72</v>
      </c>
      <c r="F47" s="18" t="s">
        <v>85</v>
      </c>
      <c r="G47" s="17" t="s">
        <v>138</v>
      </c>
      <c r="H47" s="18" t="s">
        <v>46</v>
      </c>
      <c r="I47" s="17" t="s">
        <v>71</v>
      </c>
      <c r="J47" s="17" t="s">
        <v>103</v>
      </c>
      <c r="K47" s="19" t="n">
        <v>1</v>
      </c>
      <c r="L47" s="20" t="n">
        <f aca="false">ROUND(INDEX(Premissas!$C$6:$C$11,MATCH(C47,Premissas!$B$6:$B$11,0))*K47,-3)</f>
        <v>820000</v>
      </c>
      <c r="M47" s="17" t="str">
        <f aca="false">IF(L47&lt;1000000,"Até R$ 1 mi",IF(L47&lt;1500000,"R$ 1–1,5 mi",IF(L47&lt;2000000,"R$ 1,5–2 mi","Acima de R$ 2 mi")))</f>
        <v>Até R$ 1 mi</v>
      </c>
    </row>
    <row r="48" customFormat="false" ht="15" hidden="false" customHeight="false" outlineLevel="0" collapsed="false">
      <c r="A48" s="17" t="s">
        <v>200</v>
      </c>
      <c r="B48" s="17" t="s">
        <v>201</v>
      </c>
      <c r="C48" s="17" t="s">
        <v>45</v>
      </c>
      <c r="D48" s="17" t="s">
        <v>62</v>
      </c>
      <c r="E48" s="17" t="s">
        <v>72</v>
      </c>
      <c r="F48" s="18" t="s">
        <v>90</v>
      </c>
      <c r="G48" s="17" t="s">
        <v>114</v>
      </c>
      <c r="H48" s="18" t="s">
        <v>61</v>
      </c>
      <c r="I48" s="17" t="s">
        <v>77</v>
      </c>
      <c r="J48" s="17" t="s">
        <v>100</v>
      </c>
      <c r="K48" s="19" t="n">
        <v>1.4668</v>
      </c>
      <c r="L48" s="20" t="n">
        <f aca="false">ROUND(INDEX(Premissas!$C$6:$C$11,MATCH(C48,Premissas!$B$6:$B$11,0))*K48,-3)</f>
        <v>1437000</v>
      </c>
      <c r="M48" s="17" t="str">
        <f aca="false">IF(L48&lt;1000000,"Até R$ 1 mi",IF(L48&lt;1500000,"R$ 1–1,5 mi",IF(L48&lt;2000000,"R$ 1,5–2 mi","Acima de R$ 2 mi")))</f>
        <v>R$ 1–1,5 mi</v>
      </c>
    </row>
    <row r="49" customFormat="false" ht="15" hidden="false" customHeight="false" outlineLevel="0" collapsed="false">
      <c r="A49" s="17" t="s">
        <v>202</v>
      </c>
      <c r="B49" s="17" t="s">
        <v>49</v>
      </c>
      <c r="C49" s="17" t="s">
        <v>49</v>
      </c>
      <c r="D49" s="17" t="s">
        <v>64</v>
      </c>
      <c r="E49" s="17" t="s">
        <v>72</v>
      </c>
      <c r="F49" s="18" t="s">
        <v>83</v>
      </c>
      <c r="G49" s="17" t="s">
        <v>163</v>
      </c>
      <c r="H49" s="18" t="s">
        <v>63</v>
      </c>
      <c r="I49" s="17" t="s">
        <v>77</v>
      </c>
      <c r="J49" s="17" t="s">
        <v>102</v>
      </c>
      <c r="K49" s="19" t="n">
        <v>1</v>
      </c>
      <c r="L49" s="20" t="n">
        <f aca="false">ROUND(INDEX(Premissas!$C$6:$C$11,MATCH(C49,Premissas!$B$6:$B$11,0))*K49,-3)</f>
        <v>960000</v>
      </c>
      <c r="M49" s="17" t="str">
        <f aca="false">IF(L49&lt;1000000,"Até R$ 1 mi",IF(L49&lt;1500000,"R$ 1–1,5 mi",IF(L49&lt;2000000,"R$ 1,5–2 mi","Acima de R$ 2 mi")))</f>
        <v>Até R$ 1 mi</v>
      </c>
    </row>
    <row r="50" customFormat="false" ht="15" hidden="false" customHeight="false" outlineLevel="0" collapsed="false">
      <c r="A50" s="17" t="s">
        <v>203</v>
      </c>
      <c r="B50" s="17" t="s">
        <v>204</v>
      </c>
      <c r="C50" s="17" t="s">
        <v>47</v>
      </c>
      <c r="D50" s="17" t="s">
        <v>66</v>
      </c>
      <c r="E50" s="17" t="s">
        <v>72</v>
      </c>
      <c r="F50" s="18" t="s">
        <v>89</v>
      </c>
      <c r="G50" s="17" t="s">
        <v>126</v>
      </c>
      <c r="H50" s="18" t="s">
        <v>48</v>
      </c>
      <c r="I50" s="17" t="s">
        <v>71</v>
      </c>
      <c r="J50" s="17" t="s">
        <v>96</v>
      </c>
      <c r="K50" s="19" t="n">
        <v>1.9115</v>
      </c>
      <c r="L50" s="20" t="n">
        <f aca="false">ROUND(INDEX(Premissas!$C$6:$C$11,MATCH(C50,Premissas!$B$6:$B$11,0))*K50,-3)</f>
        <v>1548000</v>
      </c>
      <c r="M50" s="17" t="str">
        <f aca="false">IF(L50&lt;1000000,"Até R$ 1 mi",IF(L50&lt;1500000,"R$ 1–1,5 mi",IF(L50&lt;2000000,"R$ 1,5–2 mi","Acima de R$ 2 mi")))</f>
        <v>R$ 1,5–2 mi</v>
      </c>
    </row>
    <row r="51" customFormat="false" ht="15" hidden="false" customHeight="false" outlineLevel="0" collapsed="false">
      <c r="A51" s="17" t="s">
        <v>205</v>
      </c>
      <c r="B51" s="17" t="s">
        <v>160</v>
      </c>
      <c r="C51" s="17" t="s">
        <v>55</v>
      </c>
      <c r="D51" s="17" t="s">
        <v>66</v>
      </c>
      <c r="E51" s="17" t="s">
        <v>76</v>
      </c>
      <c r="F51" s="18" t="s">
        <v>91</v>
      </c>
      <c r="G51" s="17" t="s">
        <v>138</v>
      </c>
      <c r="H51" s="18" t="s">
        <v>46</v>
      </c>
      <c r="I51" s="17" t="s">
        <v>71</v>
      </c>
      <c r="J51" s="17" t="s">
        <v>101</v>
      </c>
      <c r="K51" s="19" t="n">
        <v>1.5229</v>
      </c>
      <c r="L51" s="20" t="n">
        <f aca="false">ROUND(INDEX(Premissas!$C$6:$C$11,MATCH(C51,Premissas!$B$6:$B$11,0))*K51,-3)</f>
        <v>883000</v>
      </c>
      <c r="M51" s="17" t="str">
        <f aca="false">IF(L51&lt;1000000,"Até R$ 1 mi",IF(L51&lt;1500000,"R$ 1–1,5 mi",IF(L51&lt;2000000,"R$ 1,5–2 mi","Acima de R$ 2 mi")))</f>
        <v>Até R$ 1 mi</v>
      </c>
    </row>
    <row r="52" customFormat="false" ht="15" hidden="false" customHeight="false" outlineLevel="0" collapsed="false">
      <c r="A52" s="17" t="s">
        <v>206</v>
      </c>
      <c r="B52" s="17" t="s">
        <v>128</v>
      </c>
      <c r="C52" s="17" t="s">
        <v>45</v>
      </c>
      <c r="D52" s="17" t="s">
        <v>62</v>
      </c>
      <c r="E52" s="17" t="s">
        <v>72</v>
      </c>
      <c r="F52" s="18" t="s">
        <v>87</v>
      </c>
      <c r="G52" s="17" t="s">
        <v>132</v>
      </c>
      <c r="H52" s="18" t="s">
        <v>57</v>
      </c>
      <c r="I52" s="17" t="s">
        <v>73</v>
      </c>
      <c r="J52" s="17" t="s">
        <v>103</v>
      </c>
      <c r="K52" s="19" t="n">
        <v>1.0862</v>
      </c>
      <c r="L52" s="20" t="n">
        <f aca="false">ROUND(INDEX(Premissas!$C$6:$C$11,MATCH(C52,Premissas!$B$6:$B$11,0))*K52,-3)</f>
        <v>1064000</v>
      </c>
      <c r="M52" s="17" t="str">
        <f aca="false">IF(L52&lt;1000000,"Até R$ 1 mi",IF(L52&lt;1500000,"R$ 1–1,5 mi",IF(L52&lt;2000000,"R$ 1,5–2 mi","Acima de R$ 2 mi")))</f>
        <v>R$ 1–1,5 mi</v>
      </c>
    </row>
    <row r="53" customFormat="false" ht="15" hidden="false" customHeight="false" outlineLevel="0" collapsed="false">
      <c r="A53" s="17" t="s">
        <v>207</v>
      </c>
      <c r="B53" s="17" t="s">
        <v>165</v>
      </c>
      <c r="C53" s="17" t="s">
        <v>51</v>
      </c>
      <c r="D53" s="17" t="s">
        <v>64</v>
      </c>
      <c r="E53" s="17" t="s">
        <v>76</v>
      </c>
      <c r="F53" s="18" t="s">
        <v>90</v>
      </c>
      <c r="G53" s="17" t="s">
        <v>138</v>
      </c>
      <c r="H53" s="18" t="s">
        <v>46</v>
      </c>
      <c r="I53" s="17" t="s">
        <v>71</v>
      </c>
      <c r="J53" s="17" t="s">
        <v>102</v>
      </c>
      <c r="K53" s="19" t="n">
        <v>1.2147</v>
      </c>
      <c r="L53" s="20" t="n">
        <f aca="false">ROUND(INDEX(Premissas!$C$6:$C$11,MATCH(C53,Premissas!$B$6:$B$11,0))*K53,-3)</f>
        <v>1032000</v>
      </c>
      <c r="M53" s="17" t="str">
        <f aca="false">IF(L53&lt;1000000,"Até R$ 1 mi",IF(L53&lt;1500000,"R$ 1–1,5 mi",IF(L53&lt;2000000,"R$ 1,5–2 mi","Acima de R$ 2 mi")))</f>
        <v>R$ 1–1,5 mi</v>
      </c>
    </row>
    <row r="54" customFormat="false" ht="15" hidden="false" customHeight="false" outlineLevel="0" collapsed="false">
      <c r="A54" s="17" t="s">
        <v>208</v>
      </c>
      <c r="B54" s="17" t="s">
        <v>47</v>
      </c>
      <c r="C54" s="17" t="s">
        <v>47</v>
      </c>
      <c r="D54" s="17" t="s">
        <v>66</v>
      </c>
      <c r="E54" s="17" t="s">
        <v>72</v>
      </c>
      <c r="F54" s="18" t="s">
        <v>85</v>
      </c>
      <c r="G54" s="17" t="s">
        <v>175</v>
      </c>
      <c r="H54" s="18" t="s">
        <v>46</v>
      </c>
      <c r="I54" s="17" t="s">
        <v>71</v>
      </c>
      <c r="J54" s="17" t="s">
        <v>99</v>
      </c>
      <c r="K54" s="19" t="n">
        <v>1.0208</v>
      </c>
      <c r="L54" s="20" t="n">
        <f aca="false">ROUND(INDEX(Premissas!$C$6:$C$11,MATCH(C54,Premissas!$B$6:$B$11,0))*K54,-3)</f>
        <v>827000</v>
      </c>
      <c r="M54" s="17" t="str">
        <f aca="false">IF(L54&lt;1000000,"Até R$ 1 mi",IF(L54&lt;1500000,"R$ 1–1,5 mi",IF(L54&lt;2000000,"R$ 1,5–2 mi","Acima de R$ 2 mi")))</f>
        <v>Até R$ 1 mi</v>
      </c>
    </row>
    <row r="55" customFormat="false" ht="15" hidden="false" customHeight="false" outlineLevel="0" collapsed="false">
      <c r="A55" s="17" t="s">
        <v>209</v>
      </c>
      <c r="B55" s="17" t="s">
        <v>151</v>
      </c>
      <c r="C55" s="17" t="s">
        <v>53</v>
      </c>
      <c r="D55" s="17" t="s">
        <v>62</v>
      </c>
      <c r="E55" s="17" t="s">
        <v>72</v>
      </c>
      <c r="F55" s="18" t="s">
        <v>91</v>
      </c>
      <c r="G55" s="17" t="s">
        <v>138</v>
      </c>
      <c r="H55" s="18" t="s">
        <v>46</v>
      </c>
      <c r="I55" s="17" t="s">
        <v>71</v>
      </c>
      <c r="J55" s="17" t="s">
        <v>100</v>
      </c>
      <c r="K55" s="19" t="n">
        <v>2.4177</v>
      </c>
      <c r="L55" s="20" t="n">
        <f aca="false">ROUND(INDEX(Premissas!$C$6:$C$11,MATCH(C55,Premissas!$B$6:$B$11,0))*K55,-3)</f>
        <v>1983000</v>
      </c>
      <c r="M55" s="17" t="str">
        <f aca="false">IF(L55&lt;1000000,"Até R$ 1 mi",IF(L55&lt;1500000,"R$ 1–1,5 mi",IF(L55&lt;2000000,"R$ 1,5–2 mi","Acima de R$ 2 mi")))</f>
        <v>R$ 1,5–2 mi</v>
      </c>
    </row>
    <row r="56" customFormat="false" ht="15" hidden="false" customHeight="false" outlineLevel="0" collapsed="false">
      <c r="A56" s="17" t="s">
        <v>210</v>
      </c>
      <c r="B56" s="17" t="s">
        <v>162</v>
      </c>
      <c r="C56" s="17" t="s">
        <v>45</v>
      </c>
      <c r="D56" s="17" t="s">
        <v>62</v>
      </c>
      <c r="E56" s="17" t="s">
        <v>72</v>
      </c>
      <c r="F56" s="18" t="s">
        <v>90</v>
      </c>
      <c r="G56" s="17" t="s">
        <v>129</v>
      </c>
      <c r="H56" s="18" t="s">
        <v>56</v>
      </c>
      <c r="I56" s="17" t="s">
        <v>73</v>
      </c>
      <c r="J56" s="17" t="s">
        <v>96</v>
      </c>
      <c r="K56" s="19" t="n">
        <v>2.7923</v>
      </c>
      <c r="L56" s="20" t="n">
        <f aca="false">ROUND(INDEX(Premissas!$C$6:$C$11,MATCH(C56,Premissas!$B$6:$B$11,0))*K56,-3)</f>
        <v>2736000</v>
      </c>
      <c r="M56" s="17" t="str">
        <f aca="false">IF(L56&lt;1000000,"Até R$ 1 mi",IF(L56&lt;1500000,"R$ 1–1,5 mi",IF(L56&lt;2000000,"R$ 1,5–2 mi","Acima de R$ 2 mi")))</f>
        <v>Acima de R$ 2 mi</v>
      </c>
    </row>
    <row r="57" customFormat="false" ht="15" hidden="false" customHeight="false" outlineLevel="0" collapsed="false">
      <c r="A57" s="17" t="s">
        <v>211</v>
      </c>
      <c r="B57" s="17" t="s">
        <v>125</v>
      </c>
      <c r="C57" s="17" t="s">
        <v>49</v>
      </c>
      <c r="D57" s="17" t="s">
        <v>64</v>
      </c>
      <c r="E57" s="17" t="s">
        <v>72</v>
      </c>
      <c r="F57" s="18" t="s">
        <v>89</v>
      </c>
      <c r="G57" s="17" t="s">
        <v>138</v>
      </c>
      <c r="H57" s="18" t="s">
        <v>46</v>
      </c>
      <c r="I57" s="17" t="s">
        <v>71</v>
      </c>
      <c r="J57" s="17" t="s">
        <v>102</v>
      </c>
      <c r="K57" s="19" t="n">
        <v>1.4168</v>
      </c>
      <c r="L57" s="20" t="n">
        <f aca="false">ROUND(INDEX(Premissas!$C$6:$C$11,MATCH(C57,Premissas!$B$6:$B$11,0))*K57,-3)</f>
        <v>1360000</v>
      </c>
      <c r="M57" s="17" t="str">
        <f aca="false">IF(L57&lt;1000000,"Até R$ 1 mi",IF(L57&lt;1500000,"R$ 1–1,5 mi",IF(L57&lt;2000000,"R$ 1,5–2 mi","Acima de R$ 2 mi")))</f>
        <v>R$ 1–1,5 mi</v>
      </c>
    </row>
    <row r="58" customFormat="false" ht="15" hidden="false" customHeight="false" outlineLevel="0" collapsed="false">
      <c r="A58" s="17" t="s">
        <v>212</v>
      </c>
      <c r="B58" s="17" t="s">
        <v>119</v>
      </c>
      <c r="C58" s="17" t="s">
        <v>55</v>
      </c>
      <c r="D58" s="17" t="s">
        <v>66</v>
      </c>
      <c r="E58" s="17" t="s">
        <v>72</v>
      </c>
      <c r="F58" s="18" t="s">
        <v>85</v>
      </c>
      <c r="G58" s="17" t="s">
        <v>126</v>
      </c>
      <c r="H58" s="18" t="s">
        <v>48</v>
      </c>
      <c r="I58" s="17" t="s">
        <v>71</v>
      </c>
      <c r="J58" s="17" t="s">
        <v>99</v>
      </c>
      <c r="K58" s="19" t="n">
        <v>1.1333</v>
      </c>
      <c r="L58" s="20" t="n">
        <f aca="false">ROUND(INDEX(Premissas!$C$6:$C$11,MATCH(C58,Premissas!$B$6:$B$11,0))*K58,-3)</f>
        <v>657000</v>
      </c>
      <c r="M58" s="17" t="str">
        <f aca="false">IF(L58&lt;1000000,"Até R$ 1 mi",IF(L58&lt;1500000,"R$ 1–1,5 mi",IF(L58&lt;2000000,"R$ 1,5–2 mi","Acima de R$ 2 mi")))</f>
        <v>Até R$ 1 mi</v>
      </c>
    </row>
    <row r="59" customFormat="false" ht="15" hidden="false" customHeight="false" outlineLevel="0" collapsed="false">
      <c r="A59" s="17" t="s">
        <v>213</v>
      </c>
      <c r="B59" s="17" t="s">
        <v>153</v>
      </c>
      <c r="C59" s="17" t="s">
        <v>51</v>
      </c>
      <c r="D59" s="17" t="s">
        <v>64</v>
      </c>
      <c r="E59" s="17" t="s">
        <v>76</v>
      </c>
      <c r="F59" s="18" t="s">
        <v>90</v>
      </c>
      <c r="G59" s="17" t="s">
        <v>175</v>
      </c>
      <c r="H59" s="18" t="s">
        <v>46</v>
      </c>
      <c r="I59" s="17" t="s">
        <v>71</v>
      </c>
      <c r="J59" s="17" t="s">
        <v>101</v>
      </c>
      <c r="K59" s="19" t="n">
        <v>1.0941</v>
      </c>
      <c r="L59" s="20" t="n">
        <f aca="false">ROUND(INDEX(Premissas!$C$6:$C$11,MATCH(C59,Premissas!$B$6:$B$11,0))*K59,-3)</f>
        <v>930000</v>
      </c>
      <c r="M59" s="17" t="str">
        <f aca="false">IF(L59&lt;1000000,"Até R$ 1 mi",IF(L59&lt;1500000,"R$ 1–1,5 mi",IF(L59&lt;2000000,"R$ 1,5–2 mi","Acima de R$ 2 mi")))</f>
        <v>Até R$ 1 mi</v>
      </c>
    </row>
    <row r="60" customFormat="false" ht="15" hidden="false" customHeight="false" outlineLevel="0" collapsed="false">
      <c r="A60" s="17" t="s">
        <v>214</v>
      </c>
      <c r="B60" s="17" t="s">
        <v>146</v>
      </c>
      <c r="C60" s="17" t="s">
        <v>47</v>
      </c>
      <c r="D60" s="17" t="s">
        <v>66</v>
      </c>
      <c r="E60" s="17" t="s">
        <v>72</v>
      </c>
      <c r="F60" s="18" t="s">
        <v>91</v>
      </c>
      <c r="G60" s="17" t="s">
        <v>138</v>
      </c>
      <c r="H60" s="18" t="s">
        <v>46</v>
      </c>
      <c r="I60" s="17" t="s">
        <v>71</v>
      </c>
      <c r="J60" s="17" t="s">
        <v>102</v>
      </c>
      <c r="K60" s="19" t="n">
        <v>2.6042</v>
      </c>
      <c r="L60" s="20" t="n">
        <f aca="false">ROUND(INDEX(Premissas!$C$6:$C$11,MATCH(C60,Premissas!$B$6:$B$11,0))*K60,-3)</f>
        <v>2109000</v>
      </c>
      <c r="M60" s="17" t="str">
        <f aca="false">IF(L60&lt;1000000,"Até R$ 1 mi",IF(L60&lt;1500000,"R$ 1–1,5 mi",IF(L60&lt;2000000,"R$ 1,5–2 mi","Acima de R$ 2 mi")))</f>
        <v>Acima de R$ 2 mi</v>
      </c>
    </row>
    <row r="61" customFormat="false" ht="15" hidden="false" customHeight="false" outlineLevel="0" collapsed="false">
      <c r="A61" s="17" t="s">
        <v>215</v>
      </c>
      <c r="B61" s="17" t="s">
        <v>148</v>
      </c>
      <c r="C61" s="17" t="s">
        <v>45</v>
      </c>
      <c r="D61" s="17" t="s">
        <v>62</v>
      </c>
      <c r="E61" s="17" t="s">
        <v>72</v>
      </c>
      <c r="F61" s="18" t="s">
        <v>89</v>
      </c>
      <c r="G61" s="17" t="s">
        <v>180</v>
      </c>
      <c r="H61" s="18" t="s">
        <v>54</v>
      </c>
      <c r="I61" s="17" t="s">
        <v>73</v>
      </c>
      <c r="J61" s="17" t="s">
        <v>98</v>
      </c>
      <c r="K61" s="19" t="n">
        <v>1.3707</v>
      </c>
      <c r="L61" s="20" t="n">
        <f aca="false">ROUND(INDEX(Premissas!$C$6:$C$11,MATCH(C61,Premissas!$B$6:$B$11,0))*K61,-3)</f>
        <v>1343000</v>
      </c>
      <c r="M61" s="17" t="str">
        <f aca="false">IF(L61&lt;1000000,"Até R$ 1 mi",IF(L61&lt;1500000,"R$ 1–1,5 mi",IF(L61&lt;2000000,"R$ 1,5–2 mi","Acima de R$ 2 mi")))</f>
        <v>R$ 1–1,5 mi</v>
      </c>
    </row>
    <row r="62" customFormat="false" ht="15" hidden="false" customHeight="false" outlineLevel="0" collapsed="false">
      <c r="A62" s="17" t="s">
        <v>216</v>
      </c>
      <c r="B62" s="17" t="s">
        <v>168</v>
      </c>
      <c r="C62" s="17" t="s">
        <v>53</v>
      </c>
      <c r="D62" s="17" t="s">
        <v>62</v>
      </c>
      <c r="E62" s="17" t="s">
        <v>72</v>
      </c>
      <c r="F62" s="18" t="s">
        <v>90</v>
      </c>
      <c r="G62" s="17" t="s">
        <v>132</v>
      </c>
      <c r="H62" s="18" t="s">
        <v>57</v>
      </c>
      <c r="I62" s="17" t="s">
        <v>73</v>
      </c>
      <c r="J62" s="17" t="s">
        <v>96</v>
      </c>
      <c r="K62" s="19" t="n">
        <v>2.5236</v>
      </c>
      <c r="L62" s="20" t="n">
        <f aca="false">ROUND(INDEX(Premissas!$C$6:$C$11,MATCH(C62,Premissas!$B$6:$B$11,0))*K62,-3)</f>
        <v>2069000</v>
      </c>
      <c r="M62" s="17" t="str">
        <f aca="false">IF(L62&lt;1000000,"Até R$ 1 mi",IF(L62&lt;1500000,"R$ 1–1,5 mi",IF(L62&lt;2000000,"R$ 1,5–2 mi","Acima de R$ 2 mi")))</f>
        <v>Acima de R$ 2 mi</v>
      </c>
    </row>
    <row r="63" customFormat="false" ht="15" hidden="false" customHeight="false" outlineLevel="0" collapsed="false">
      <c r="A63" s="17" t="s">
        <v>217</v>
      </c>
      <c r="B63" s="17" t="s">
        <v>172</v>
      </c>
      <c r="C63" s="17" t="s">
        <v>49</v>
      </c>
      <c r="D63" s="17" t="s">
        <v>64</v>
      </c>
      <c r="E63" s="17" t="s">
        <v>74</v>
      </c>
      <c r="F63" s="18" t="s">
        <v>87</v>
      </c>
      <c r="G63" s="17" t="s">
        <v>138</v>
      </c>
      <c r="H63" s="18" t="s">
        <v>46</v>
      </c>
      <c r="I63" s="17" t="s">
        <v>71</v>
      </c>
      <c r="J63" s="17" t="s">
        <v>103</v>
      </c>
      <c r="K63" s="19" t="n">
        <v>1.5175</v>
      </c>
      <c r="L63" s="20" t="n">
        <f aca="false">ROUND(INDEX(Premissas!$C$6:$C$11,MATCH(C63,Premissas!$B$6:$B$11,0))*K63,-3)</f>
        <v>1457000</v>
      </c>
      <c r="M63" s="17" t="str">
        <f aca="false">IF(L63&lt;1000000,"Até R$ 1 mi",IF(L63&lt;1500000,"R$ 1–1,5 mi",IF(L63&lt;2000000,"R$ 1,5–2 mi","Acima de R$ 2 mi")))</f>
        <v>R$ 1–1,5 mi</v>
      </c>
    </row>
    <row r="64" customFormat="false" ht="15" hidden="false" customHeight="false" outlineLevel="0" collapsed="false">
      <c r="A64" s="17" t="s">
        <v>218</v>
      </c>
      <c r="B64" s="17" t="s">
        <v>55</v>
      </c>
      <c r="C64" s="17" t="s">
        <v>55</v>
      </c>
      <c r="D64" s="17" t="s">
        <v>66</v>
      </c>
      <c r="E64" s="17" t="s">
        <v>72</v>
      </c>
      <c r="F64" s="18" t="s">
        <v>85</v>
      </c>
      <c r="G64" s="17" t="s">
        <v>180</v>
      </c>
      <c r="H64" s="18" t="s">
        <v>54</v>
      </c>
      <c r="I64" s="17" t="s">
        <v>73</v>
      </c>
      <c r="J64" s="17" t="s">
        <v>100</v>
      </c>
      <c r="K64" s="19" t="n">
        <v>1.0017</v>
      </c>
      <c r="L64" s="20" t="n">
        <f aca="false">ROUND(INDEX(Premissas!$C$6:$C$11,MATCH(C64,Premissas!$B$6:$B$11,0))*K64,-3)</f>
        <v>581000</v>
      </c>
      <c r="M64" s="17" t="str">
        <f aca="false">IF(L64&lt;1000000,"Até R$ 1 mi",IF(L64&lt;1500000,"R$ 1–1,5 mi",IF(L64&lt;2000000,"R$ 1,5–2 mi","Acima de R$ 2 mi")))</f>
        <v>Até R$ 1 mi</v>
      </c>
    </row>
    <row r="65" customFormat="false" ht="15" hidden="false" customHeight="false" outlineLevel="0" collapsed="false">
      <c r="A65" s="17" t="s">
        <v>219</v>
      </c>
      <c r="B65" s="17" t="s">
        <v>177</v>
      </c>
      <c r="C65" s="17" t="s">
        <v>51</v>
      </c>
      <c r="D65" s="17" t="s">
        <v>64</v>
      </c>
      <c r="E65" s="17" t="s">
        <v>76</v>
      </c>
      <c r="F65" s="18" t="s">
        <v>91</v>
      </c>
      <c r="G65" s="17" t="s">
        <v>129</v>
      </c>
      <c r="H65" s="18" t="s">
        <v>56</v>
      </c>
      <c r="I65" s="17" t="s">
        <v>73</v>
      </c>
      <c r="J65" s="17" t="s">
        <v>102</v>
      </c>
      <c r="K65" s="19" t="n">
        <v>1.8648</v>
      </c>
      <c r="L65" s="20" t="n">
        <f aca="false">ROUND(INDEX(Premissas!$C$6:$C$11,MATCH(C65,Premissas!$B$6:$B$11,0))*K65,-3)</f>
        <v>1585000</v>
      </c>
      <c r="M65" s="17" t="str">
        <f aca="false">IF(L65&lt;1000000,"Até R$ 1 mi",IF(L65&lt;1500000,"R$ 1–1,5 mi",IF(L65&lt;2000000,"R$ 1,5–2 mi","Acima de R$ 2 mi")))</f>
        <v>R$ 1,5–2 mi</v>
      </c>
    </row>
    <row r="66" customFormat="false" ht="15" hidden="false" customHeight="false" outlineLevel="0" collapsed="false">
      <c r="A66" s="17" t="s">
        <v>220</v>
      </c>
      <c r="B66" s="17" t="s">
        <v>155</v>
      </c>
      <c r="C66" s="17" t="s">
        <v>47</v>
      </c>
      <c r="D66" s="17" t="s">
        <v>66</v>
      </c>
      <c r="E66" s="17" t="s">
        <v>72</v>
      </c>
      <c r="F66" s="18" t="s">
        <v>90</v>
      </c>
      <c r="G66" s="17" t="s">
        <v>180</v>
      </c>
      <c r="H66" s="18" t="s">
        <v>54</v>
      </c>
      <c r="I66" s="17" t="s">
        <v>73</v>
      </c>
      <c r="J66" s="17" t="s">
        <v>97</v>
      </c>
      <c r="K66" s="19" t="n">
        <v>1.3014</v>
      </c>
      <c r="L66" s="20" t="n">
        <f aca="false">ROUND(INDEX(Premissas!$C$6:$C$11,MATCH(C66,Premissas!$B$6:$B$11,0))*K66,-3)</f>
        <v>1054000</v>
      </c>
      <c r="M66" s="17" t="str">
        <f aca="false">IF(L66&lt;1000000,"Até R$ 1 mi",IF(L66&lt;1500000,"R$ 1–1,5 mi",IF(L66&lt;2000000,"R$ 1,5–2 mi","Acima de R$ 2 mi")))</f>
        <v>R$ 1–1,5 mi</v>
      </c>
    </row>
    <row r="67" customFormat="false" ht="15" hidden="false" customHeight="false" outlineLevel="0" collapsed="false">
      <c r="A67" s="17" t="s">
        <v>221</v>
      </c>
      <c r="B67" s="17" t="s">
        <v>170</v>
      </c>
      <c r="C67" s="17" t="s">
        <v>45</v>
      </c>
      <c r="D67" s="17" t="s">
        <v>62</v>
      </c>
      <c r="E67" s="17" t="s">
        <v>72</v>
      </c>
      <c r="F67" s="18" t="s">
        <v>90</v>
      </c>
      <c r="G67" s="17" t="s">
        <v>126</v>
      </c>
      <c r="H67" s="18" t="s">
        <v>48</v>
      </c>
      <c r="I67" s="17" t="s">
        <v>71</v>
      </c>
      <c r="J67" s="17" t="s">
        <v>96</v>
      </c>
      <c r="K67" s="19" t="n">
        <v>1.2643</v>
      </c>
      <c r="L67" s="20" t="n">
        <f aca="false">ROUND(INDEX(Premissas!$C$6:$C$11,MATCH(C67,Premissas!$B$6:$B$11,0))*K67,-3)</f>
        <v>1239000</v>
      </c>
      <c r="M67" s="17" t="str">
        <f aca="false">IF(L67&lt;1000000,"Até R$ 1 mi",IF(L67&lt;1500000,"R$ 1–1,5 mi",IF(L67&lt;2000000,"R$ 1,5–2 mi","Acima de R$ 2 mi")))</f>
        <v>R$ 1–1,5 mi</v>
      </c>
    </row>
    <row r="68" customFormat="false" ht="15" hidden="false" customHeight="false" outlineLevel="0" collapsed="false">
      <c r="A68" s="17" t="s">
        <v>222</v>
      </c>
      <c r="B68" s="17" t="s">
        <v>223</v>
      </c>
      <c r="C68" s="17" t="s">
        <v>53</v>
      </c>
      <c r="D68" s="17" t="s">
        <v>62</v>
      </c>
      <c r="E68" s="17" t="s">
        <v>72</v>
      </c>
      <c r="F68" s="18" t="s">
        <v>89</v>
      </c>
      <c r="G68" s="17" t="s">
        <v>117</v>
      </c>
      <c r="H68" s="18" t="s">
        <v>52</v>
      </c>
      <c r="I68" s="17" t="s">
        <v>75</v>
      </c>
      <c r="J68" s="17" t="s">
        <v>101</v>
      </c>
      <c r="K68" s="19" t="n">
        <v>1.309</v>
      </c>
      <c r="L68" s="20" t="n">
        <f aca="false">ROUND(INDEX(Premissas!$C$6:$C$11,MATCH(C68,Premissas!$B$6:$B$11,0))*K68,-3)</f>
        <v>1073000</v>
      </c>
      <c r="M68" s="17" t="str">
        <f aca="false">IF(L68&lt;1000000,"Até R$ 1 mi",IF(L68&lt;1500000,"R$ 1–1,5 mi",IF(L68&lt;2000000,"R$ 1,5–2 mi","Acima de R$ 2 mi")))</f>
        <v>R$ 1–1,5 mi</v>
      </c>
    </row>
    <row r="69" customFormat="false" ht="15" hidden="false" customHeight="false" outlineLevel="0" collapsed="false">
      <c r="A69" s="17" t="s">
        <v>224</v>
      </c>
      <c r="B69" s="17" t="s">
        <v>144</v>
      </c>
      <c r="C69" s="17" t="s">
        <v>49</v>
      </c>
      <c r="D69" s="17" t="s">
        <v>64</v>
      </c>
      <c r="E69" s="17" t="s">
        <v>72</v>
      </c>
      <c r="F69" s="18" t="s">
        <v>87</v>
      </c>
      <c r="G69" s="17" t="s">
        <v>111</v>
      </c>
      <c r="H69" s="18" t="s">
        <v>46</v>
      </c>
      <c r="I69" s="17" t="s">
        <v>71</v>
      </c>
      <c r="J69" s="17" t="s">
        <v>102</v>
      </c>
      <c r="K69" s="19" t="n">
        <v>1.8741</v>
      </c>
      <c r="L69" s="20" t="n">
        <f aca="false">ROUND(INDEX(Premissas!$C$6:$C$11,MATCH(C69,Premissas!$B$6:$B$11,0))*K69,-3)</f>
        <v>1799000</v>
      </c>
      <c r="M69" s="17" t="str">
        <f aca="false">IF(L69&lt;1000000,"Até R$ 1 mi",IF(L69&lt;1500000,"R$ 1–1,5 mi",IF(L69&lt;2000000,"R$ 1,5–2 mi","Acima de R$ 2 mi")))</f>
        <v>R$ 1,5–2 mi</v>
      </c>
    </row>
    <row r="70" customFormat="false" ht="15" hidden="false" customHeight="false" outlineLevel="0" collapsed="false">
      <c r="A70" s="17" t="s">
        <v>225</v>
      </c>
      <c r="B70" s="17" t="s">
        <v>137</v>
      </c>
      <c r="C70" s="17" t="s">
        <v>55</v>
      </c>
      <c r="D70" s="17" t="s">
        <v>66</v>
      </c>
      <c r="E70" s="17" t="s">
        <v>72</v>
      </c>
      <c r="F70" s="18" t="s">
        <v>90</v>
      </c>
      <c r="G70" s="17" t="s">
        <v>180</v>
      </c>
      <c r="H70" s="18" t="s">
        <v>54</v>
      </c>
      <c r="I70" s="17" t="s">
        <v>73</v>
      </c>
      <c r="J70" s="17" t="s">
        <v>95</v>
      </c>
      <c r="K70" s="19" t="n">
        <v>1.6435</v>
      </c>
      <c r="L70" s="20" t="n">
        <f aca="false">ROUND(INDEX(Premissas!$C$6:$C$11,MATCH(C70,Premissas!$B$6:$B$11,0))*K70,-3)</f>
        <v>953000</v>
      </c>
      <c r="M70" s="17" t="str">
        <f aca="false">IF(L70&lt;1000000,"Até R$ 1 mi",IF(L70&lt;1500000,"R$ 1–1,5 mi",IF(L70&lt;2000000,"R$ 1,5–2 mi","Acima de R$ 2 mi")))</f>
        <v>Até R$ 1 mi</v>
      </c>
    </row>
    <row r="71" customFormat="false" ht="15" hidden="false" customHeight="false" outlineLevel="0" collapsed="false">
      <c r="A71" s="17" t="s">
        <v>226</v>
      </c>
      <c r="B71" s="17" t="s">
        <v>122</v>
      </c>
      <c r="C71" s="17" t="s">
        <v>51</v>
      </c>
      <c r="D71" s="17" t="s">
        <v>64</v>
      </c>
      <c r="E71" s="17" t="s">
        <v>76</v>
      </c>
      <c r="F71" s="18" t="s">
        <v>91</v>
      </c>
      <c r="G71" s="17" t="s">
        <v>138</v>
      </c>
      <c r="H71" s="18" t="s">
        <v>46</v>
      </c>
      <c r="I71" s="17" t="s">
        <v>71</v>
      </c>
      <c r="J71" s="17" t="s">
        <v>102</v>
      </c>
      <c r="K71" s="19" t="n">
        <v>1.1257</v>
      </c>
      <c r="L71" s="20" t="n">
        <f aca="false">ROUND(INDEX(Premissas!$C$6:$C$11,MATCH(C71,Premissas!$B$6:$B$11,0))*K71,-3)</f>
        <v>957000</v>
      </c>
      <c r="M71" s="17" t="str">
        <f aca="false">IF(L71&lt;1000000,"Até R$ 1 mi",IF(L71&lt;1500000,"R$ 1–1,5 mi",IF(L71&lt;2000000,"R$ 1,5–2 mi","Acima de R$ 2 mi")))</f>
        <v>Até R$ 1 mi</v>
      </c>
    </row>
    <row r="72" customFormat="false" ht="15" hidden="false" customHeight="false" outlineLevel="0" collapsed="false">
      <c r="A72" s="17" t="s">
        <v>227</v>
      </c>
      <c r="B72" s="17" t="s">
        <v>131</v>
      </c>
      <c r="C72" s="17" t="s">
        <v>47</v>
      </c>
      <c r="D72" s="17" t="s">
        <v>66</v>
      </c>
      <c r="E72" s="17" t="s">
        <v>74</v>
      </c>
      <c r="F72" s="18" t="s">
        <v>89</v>
      </c>
      <c r="G72" s="17" t="s">
        <v>120</v>
      </c>
      <c r="H72" s="18" t="s">
        <v>50</v>
      </c>
      <c r="I72" s="17" t="s">
        <v>71</v>
      </c>
      <c r="J72" s="17" t="s">
        <v>99</v>
      </c>
      <c r="K72" s="19" t="n">
        <v>1.2279</v>
      </c>
      <c r="L72" s="20" t="n">
        <f aca="false">ROUND(INDEX(Premissas!$C$6:$C$11,MATCH(C72,Premissas!$B$6:$B$11,0))*K72,-3)</f>
        <v>995000</v>
      </c>
      <c r="M72" s="17" t="str">
        <f aca="false">IF(L72&lt;1000000,"Até R$ 1 mi",IF(L72&lt;1500000,"R$ 1–1,5 mi",IF(L72&lt;2000000,"R$ 1,5–2 mi","Acima de R$ 2 mi")))</f>
        <v>Até R$ 1 mi</v>
      </c>
    </row>
    <row r="73" customFormat="false" ht="15" hidden="false" customHeight="false" outlineLevel="0" collapsed="false">
      <c r="A73" s="17" t="s">
        <v>228</v>
      </c>
      <c r="B73" s="17" t="s">
        <v>113</v>
      </c>
      <c r="C73" s="17" t="s">
        <v>45</v>
      </c>
      <c r="D73" s="17" t="s">
        <v>62</v>
      </c>
      <c r="E73" s="17" t="s">
        <v>72</v>
      </c>
      <c r="F73" s="18" t="s">
        <v>91</v>
      </c>
      <c r="G73" s="17" t="s">
        <v>123</v>
      </c>
      <c r="H73" s="18" t="s">
        <v>65</v>
      </c>
      <c r="I73" s="17" t="s">
        <v>77</v>
      </c>
      <c r="J73" s="17" t="s">
        <v>98</v>
      </c>
      <c r="K73" s="19" t="n">
        <v>2.513</v>
      </c>
      <c r="L73" s="20" t="n">
        <f aca="false">ROUND(INDEX(Premissas!$C$6:$C$11,MATCH(C73,Premissas!$B$6:$B$11,0))*K73,-3)</f>
        <v>2463000</v>
      </c>
      <c r="M73" s="17" t="str">
        <f aca="false">IF(L73&lt;1000000,"Até R$ 1 mi",IF(L73&lt;1500000,"R$ 1–1,5 mi",IF(L73&lt;2000000,"R$ 1,5–2 mi","Acima de R$ 2 mi")))</f>
        <v>Acima de R$ 2 mi</v>
      </c>
    </row>
    <row r="74" customFormat="false" ht="15" hidden="false" customHeight="false" outlineLevel="0" collapsed="false">
      <c r="A74" s="17" t="s">
        <v>229</v>
      </c>
      <c r="B74" s="17" t="s">
        <v>230</v>
      </c>
      <c r="C74" s="17" t="s">
        <v>53</v>
      </c>
      <c r="D74" s="17" t="s">
        <v>62</v>
      </c>
      <c r="E74" s="17" t="s">
        <v>72</v>
      </c>
      <c r="F74" s="18" t="s">
        <v>87</v>
      </c>
      <c r="G74" s="17" t="s">
        <v>132</v>
      </c>
      <c r="H74" s="18" t="s">
        <v>57</v>
      </c>
      <c r="I74" s="17" t="s">
        <v>73</v>
      </c>
      <c r="J74" s="17" t="s">
        <v>96</v>
      </c>
      <c r="K74" s="19" t="n">
        <v>1.1838</v>
      </c>
      <c r="L74" s="20" t="n">
        <f aca="false">ROUND(INDEX(Premissas!$C$6:$C$11,MATCH(C74,Premissas!$B$6:$B$11,0))*K74,-3)</f>
        <v>971000</v>
      </c>
      <c r="M74" s="17" t="str">
        <f aca="false">IF(L74&lt;1000000,"Até R$ 1 mi",IF(L74&lt;1500000,"R$ 1–1,5 mi",IF(L74&lt;2000000,"R$ 1,5–2 mi","Acima de R$ 2 mi")))</f>
        <v>Até R$ 1 mi</v>
      </c>
    </row>
    <row r="75" customFormat="false" ht="15" hidden="false" customHeight="false" outlineLevel="0" collapsed="false">
      <c r="A75" s="17" t="s">
        <v>231</v>
      </c>
      <c r="B75" s="17" t="s">
        <v>160</v>
      </c>
      <c r="C75" s="17" t="s">
        <v>55</v>
      </c>
      <c r="D75" s="17" t="s">
        <v>66</v>
      </c>
      <c r="E75" s="17" t="s">
        <v>76</v>
      </c>
      <c r="F75" s="18" t="s">
        <v>92</v>
      </c>
      <c r="G75" s="17" t="s">
        <v>129</v>
      </c>
      <c r="H75" s="18" t="s">
        <v>56</v>
      </c>
      <c r="I75" s="17" t="s">
        <v>73</v>
      </c>
      <c r="J75" s="17" t="s">
        <v>102</v>
      </c>
      <c r="K75" s="19" t="n">
        <v>1.5501</v>
      </c>
      <c r="L75" s="20" t="n">
        <f aca="false">ROUND(INDEX(Premissas!$C$6:$C$11,MATCH(C75,Premissas!$B$6:$B$11,0))*K75,-3)</f>
        <v>899000</v>
      </c>
      <c r="M75" s="17" t="str">
        <f aca="false">IF(L75&lt;1000000,"Até R$ 1 mi",IF(L75&lt;1500000,"R$ 1–1,5 mi",IF(L75&lt;2000000,"R$ 1,5–2 mi","Acima de R$ 2 mi")))</f>
        <v>Até R$ 1 mi</v>
      </c>
    </row>
    <row r="76" customFormat="false" ht="15" hidden="false" customHeight="false" outlineLevel="0" collapsed="false">
      <c r="A76" s="17" t="s">
        <v>232</v>
      </c>
      <c r="B76" s="17" t="s">
        <v>49</v>
      </c>
      <c r="C76" s="17" t="s">
        <v>49</v>
      </c>
      <c r="D76" s="17" t="s">
        <v>64</v>
      </c>
      <c r="E76" s="17" t="s">
        <v>72</v>
      </c>
      <c r="F76" s="18" t="s">
        <v>85</v>
      </c>
      <c r="G76" s="17" t="s">
        <v>126</v>
      </c>
      <c r="H76" s="18" t="s">
        <v>48</v>
      </c>
      <c r="I76" s="17" t="s">
        <v>71</v>
      </c>
      <c r="J76" s="17" t="s">
        <v>100</v>
      </c>
      <c r="K76" s="19" t="n">
        <v>1.1175</v>
      </c>
      <c r="L76" s="20" t="n">
        <f aca="false">ROUND(INDEX(Premissas!$C$6:$C$11,MATCH(C76,Premissas!$B$6:$B$11,0))*K76,-3)</f>
        <v>1073000</v>
      </c>
      <c r="M76" s="17" t="str">
        <f aca="false">IF(L76&lt;1000000,"Até R$ 1 mi",IF(L76&lt;1500000,"R$ 1–1,5 mi",IF(L76&lt;2000000,"R$ 1,5–2 mi","Acima de R$ 2 mi")))</f>
        <v>R$ 1–1,5 mi</v>
      </c>
    </row>
    <row r="77" customFormat="false" ht="15" hidden="false" customHeight="false" outlineLevel="0" collapsed="false">
      <c r="A77" s="17" t="s">
        <v>233</v>
      </c>
      <c r="B77" s="17" t="s">
        <v>116</v>
      </c>
      <c r="C77" s="17" t="s">
        <v>47</v>
      </c>
      <c r="D77" s="17" t="s">
        <v>66</v>
      </c>
      <c r="E77" s="17" t="s">
        <v>72</v>
      </c>
      <c r="F77" s="18" t="s">
        <v>90</v>
      </c>
      <c r="G77" s="17" t="s">
        <v>126</v>
      </c>
      <c r="H77" s="18" t="s">
        <v>48</v>
      </c>
      <c r="I77" s="17" t="s">
        <v>71</v>
      </c>
      <c r="J77" s="17" t="s">
        <v>103</v>
      </c>
      <c r="K77" s="19" t="n">
        <v>1.4453</v>
      </c>
      <c r="L77" s="20" t="n">
        <f aca="false">ROUND(INDEX(Premissas!$C$6:$C$11,MATCH(C77,Premissas!$B$6:$B$11,0))*K77,-3)</f>
        <v>1171000</v>
      </c>
      <c r="M77" s="17" t="str">
        <f aca="false">IF(L77&lt;1000000,"Até R$ 1 mi",IF(L77&lt;1500000,"R$ 1–1,5 mi",IF(L77&lt;2000000,"R$ 1,5–2 mi","Acima de R$ 2 mi")))</f>
        <v>R$ 1–1,5 mi</v>
      </c>
    </row>
    <row r="78" customFormat="false" ht="15" hidden="false" customHeight="false" outlineLevel="0" collapsed="false">
      <c r="A78" s="17" t="s">
        <v>234</v>
      </c>
      <c r="B78" s="17" t="s">
        <v>157</v>
      </c>
      <c r="C78" s="17" t="s">
        <v>45</v>
      </c>
      <c r="D78" s="17" t="s">
        <v>62</v>
      </c>
      <c r="E78" s="17" t="s">
        <v>72</v>
      </c>
      <c r="F78" s="18" t="s">
        <v>89</v>
      </c>
      <c r="G78" s="17" t="s">
        <v>126</v>
      </c>
      <c r="H78" s="18" t="s">
        <v>48</v>
      </c>
      <c r="I78" s="17" t="s">
        <v>71</v>
      </c>
      <c r="J78" s="17" t="s">
        <v>99</v>
      </c>
      <c r="K78" s="19" t="n">
        <v>1.6251</v>
      </c>
      <c r="L78" s="20" t="n">
        <f aca="false">ROUND(INDEX(Premissas!$C$6:$C$11,MATCH(C78,Premissas!$B$6:$B$11,0))*K78,-3)</f>
        <v>1593000</v>
      </c>
      <c r="M78" s="17" t="str">
        <f aca="false">IF(L78&lt;1000000,"Até R$ 1 mi",IF(L78&lt;1500000,"R$ 1–1,5 mi",IF(L78&lt;2000000,"R$ 1,5–2 mi","Acima de R$ 2 mi")))</f>
        <v>R$ 1,5–2 mi</v>
      </c>
    </row>
    <row r="79" customFormat="false" ht="15" hidden="false" customHeight="false" outlineLevel="0" collapsed="false">
      <c r="A79" s="17" t="s">
        <v>235</v>
      </c>
      <c r="B79" s="17" t="s">
        <v>51</v>
      </c>
      <c r="C79" s="17" t="s">
        <v>51</v>
      </c>
      <c r="D79" s="17" t="s">
        <v>64</v>
      </c>
      <c r="E79" s="17" t="s">
        <v>76</v>
      </c>
      <c r="F79" s="18" t="s">
        <v>91</v>
      </c>
      <c r="G79" s="17" t="s">
        <v>117</v>
      </c>
      <c r="H79" s="18" t="s">
        <v>52</v>
      </c>
      <c r="I79" s="17" t="s">
        <v>75</v>
      </c>
      <c r="J79" s="17" t="s">
        <v>101</v>
      </c>
      <c r="K79" s="19" t="n">
        <v>1.0257</v>
      </c>
      <c r="L79" s="20" t="n">
        <f aca="false">ROUND(INDEX(Premissas!$C$6:$C$11,MATCH(C79,Premissas!$B$6:$B$11,0))*K79,-3)</f>
        <v>872000</v>
      </c>
      <c r="M79" s="17" t="str">
        <f aca="false">IF(L79&lt;1000000,"Até R$ 1 mi",IF(L79&lt;1500000,"R$ 1–1,5 mi",IF(L79&lt;2000000,"R$ 1,5–2 mi","Acima de R$ 2 mi")))</f>
        <v>Até R$ 1 mi</v>
      </c>
    </row>
    <row r="80" customFormat="false" ht="15" hidden="false" customHeight="false" outlineLevel="0" collapsed="false">
      <c r="A80" s="17" t="s">
        <v>236</v>
      </c>
      <c r="B80" s="17" t="s">
        <v>174</v>
      </c>
      <c r="C80" s="17" t="s">
        <v>55</v>
      </c>
      <c r="D80" s="17" t="s">
        <v>66</v>
      </c>
      <c r="E80" s="17" t="s">
        <v>72</v>
      </c>
      <c r="F80" s="18" t="s">
        <v>87</v>
      </c>
      <c r="G80" s="17" t="s">
        <v>138</v>
      </c>
      <c r="H80" s="18" t="s">
        <v>46</v>
      </c>
      <c r="I80" s="17" t="s">
        <v>71</v>
      </c>
      <c r="J80" s="17" t="s">
        <v>102</v>
      </c>
      <c r="K80" s="19" t="n">
        <v>1.2428</v>
      </c>
      <c r="L80" s="20" t="n">
        <f aca="false">ROUND(INDEX(Premissas!$C$6:$C$11,MATCH(C80,Premissas!$B$6:$B$11,0))*K80,-3)</f>
        <v>721000</v>
      </c>
      <c r="M80" s="17" t="str">
        <f aca="false">IF(L80&lt;1000000,"Até R$ 1 mi",IF(L80&lt;1500000,"R$ 1–1,5 mi",IF(L80&lt;2000000,"R$ 1,5–2 mi","Acima de R$ 2 mi")))</f>
        <v>Até R$ 1 mi</v>
      </c>
    </row>
    <row r="81" customFormat="false" ht="15" hidden="false" customHeight="false" outlineLevel="0" collapsed="false">
      <c r="A81" s="17" t="s">
        <v>237</v>
      </c>
      <c r="B81" s="17" t="s">
        <v>142</v>
      </c>
      <c r="C81" s="17" t="s">
        <v>45</v>
      </c>
      <c r="D81" s="17" t="s">
        <v>62</v>
      </c>
      <c r="E81" s="17" t="s">
        <v>72</v>
      </c>
      <c r="F81" s="18" t="s">
        <v>90</v>
      </c>
      <c r="G81" s="17" t="s">
        <v>175</v>
      </c>
      <c r="H81" s="18" t="s">
        <v>46</v>
      </c>
      <c r="I81" s="17" t="s">
        <v>71</v>
      </c>
      <c r="J81" s="17" t="s">
        <v>102</v>
      </c>
      <c r="K81" s="19" t="n">
        <v>2.3261</v>
      </c>
      <c r="L81" s="20" t="n">
        <f aca="false">ROUND(INDEX(Premissas!$C$6:$C$11,MATCH(C81,Premissas!$B$6:$B$11,0))*K81,-3)</f>
        <v>2280000</v>
      </c>
      <c r="M81" s="17" t="str">
        <f aca="false">IF(L81&lt;1000000,"Até R$ 1 mi",IF(L81&lt;1500000,"R$ 1–1,5 mi",IF(L81&lt;2000000,"R$ 1,5–2 mi","Acima de R$ 2 mi")))</f>
        <v>Acima de R$ 2 mi</v>
      </c>
    </row>
    <row r="82" customFormat="false" ht="15" hidden="false" customHeight="false" outlineLevel="0" collapsed="false">
      <c r="A82" s="17" t="s">
        <v>238</v>
      </c>
      <c r="B82" s="17" t="s">
        <v>179</v>
      </c>
      <c r="C82" s="17" t="s">
        <v>45</v>
      </c>
      <c r="D82" s="17" t="s">
        <v>62</v>
      </c>
      <c r="E82" s="17" t="s">
        <v>72</v>
      </c>
      <c r="F82" s="18" t="s">
        <v>90</v>
      </c>
      <c r="G82" s="17" t="s">
        <v>120</v>
      </c>
      <c r="H82" s="18" t="s">
        <v>50</v>
      </c>
      <c r="I82" s="17" t="s">
        <v>71</v>
      </c>
      <c r="J82" s="17" t="s">
        <v>96</v>
      </c>
      <c r="K82" s="19" t="n">
        <v>1.3178</v>
      </c>
      <c r="L82" s="20" t="n">
        <f aca="false">ROUND(INDEX(Premissas!$C$6:$C$11,MATCH(C82,Premissas!$B$6:$B$11,0))*K82,-3)</f>
        <v>1291000</v>
      </c>
      <c r="M82" s="17" t="str">
        <f aca="false">IF(L82&lt;1000000,"Até R$ 1 mi",IF(L82&lt;1500000,"R$ 1–1,5 mi",IF(L82&lt;2000000,"R$ 1,5–2 mi","Acima de R$ 2 mi")))</f>
        <v>R$ 1–1,5 mi</v>
      </c>
    </row>
    <row r="83" customFormat="false" ht="15" hidden="false" customHeight="false" outlineLevel="0" collapsed="false">
      <c r="A83" s="17" t="s">
        <v>239</v>
      </c>
      <c r="B83" s="17" t="s">
        <v>47</v>
      </c>
      <c r="C83" s="17" t="s">
        <v>47</v>
      </c>
      <c r="D83" s="17" t="s">
        <v>66</v>
      </c>
      <c r="E83" s="17" t="s">
        <v>72</v>
      </c>
      <c r="F83" s="18" t="s">
        <v>89</v>
      </c>
      <c r="G83" s="17" t="s">
        <v>138</v>
      </c>
      <c r="H83" s="18" t="s">
        <v>46</v>
      </c>
      <c r="I83" s="17" t="s">
        <v>71</v>
      </c>
      <c r="J83" s="17" t="s">
        <v>103</v>
      </c>
      <c r="K83" s="19" t="n">
        <v>1.1003</v>
      </c>
      <c r="L83" s="20" t="n">
        <f aca="false">ROUND(INDEX(Premissas!$C$6:$C$11,MATCH(C83,Premissas!$B$6:$B$11,0))*K83,-3)</f>
        <v>891000</v>
      </c>
      <c r="M83" s="17" t="str">
        <f aca="false">IF(L83&lt;1000000,"Até R$ 1 mi",IF(L83&lt;1500000,"R$ 1–1,5 mi",IF(L83&lt;2000000,"R$ 1,5–2 mi","Acima de R$ 2 mi")))</f>
        <v>Até R$ 1 mi</v>
      </c>
    </row>
    <row r="84" customFormat="false" ht="15" hidden="false" customHeight="false" outlineLevel="0" collapsed="false">
      <c r="A84" s="17" t="s">
        <v>240</v>
      </c>
      <c r="B84" s="17" t="s">
        <v>119</v>
      </c>
      <c r="C84" s="17" t="s">
        <v>55</v>
      </c>
      <c r="D84" s="17" t="s">
        <v>66</v>
      </c>
      <c r="E84" s="17" t="s">
        <v>72</v>
      </c>
      <c r="F84" s="18" t="s">
        <v>87</v>
      </c>
      <c r="G84" s="17" t="s">
        <v>175</v>
      </c>
      <c r="H84" s="18" t="s">
        <v>46</v>
      </c>
      <c r="I84" s="17" t="s">
        <v>71</v>
      </c>
      <c r="J84" s="17" t="s">
        <v>100</v>
      </c>
      <c r="K84" s="19" t="n">
        <v>1.1851</v>
      </c>
      <c r="L84" s="20" t="n">
        <f aca="false">ROUND(INDEX(Premissas!$C$6:$C$11,MATCH(C84,Premissas!$B$6:$B$11,0))*K84,-3)</f>
        <v>687000</v>
      </c>
      <c r="M84" s="17" t="str">
        <f aca="false">IF(L84&lt;1000000,"Até R$ 1 mi",IF(L84&lt;1500000,"R$ 1–1,5 mi",IF(L84&lt;2000000,"R$ 1,5–2 mi","Acima de R$ 2 mi")))</f>
        <v>Até R$ 1 mi</v>
      </c>
    </row>
    <row r="85" customFormat="false" ht="15" hidden="false" customHeight="false" outlineLevel="0" collapsed="false">
      <c r="A85" s="17" t="s">
        <v>241</v>
      </c>
      <c r="B85" s="17" t="s">
        <v>122</v>
      </c>
      <c r="C85" s="17" t="s">
        <v>51</v>
      </c>
      <c r="D85" s="17" t="s">
        <v>64</v>
      </c>
      <c r="E85" s="17" t="s">
        <v>76</v>
      </c>
      <c r="F85" s="18" t="s">
        <v>91</v>
      </c>
      <c r="G85" s="17" t="s">
        <v>138</v>
      </c>
      <c r="H85" s="18" t="s">
        <v>46</v>
      </c>
      <c r="I85" s="17" t="s">
        <v>71</v>
      </c>
      <c r="J85" s="17" t="s">
        <v>102</v>
      </c>
      <c r="K85" s="19" t="n">
        <v>1.1352</v>
      </c>
      <c r="L85" s="20" t="n">
        <f aca="false">ROUND(INDEX(Premissas!$C$6:$C$11,MATCH(C85,Premissas!$B$6:$B$11,0))*K85,-3)</f>
        <v>965000</v>
      </c>
      <c r="M85" s="17" t="str">
        <f aca="false">IF(L85&lt;1000000,"Até R$ 1 mi",IF(L85&lt;1500000,"R$ 1–1,5 mi",IF(L85&lt;2000000,"R$ 1,5–2 mi","Acima de R$ 2 mi")))</f>
        <v>Até R$ 1 mi</v>
      </c>
    </row>
    <row r="86" customFormat="false" ht="15" hidden="false" customHeight="false" outlineLevel="0" collapsed="false">
      <c r="A86" s="17" t="s">
        <v>242</v>
      </c>
      <c r="B86" s="17" t="s">
        <v>49</v>
      </c>
      <c r="C86" s="17" t="s">
        <v>49</v>
      </c>
      <c r="D86" s="17" t="s">
        <v>64</v>
      </c>
      <c r="E86" s="17" t="s">
        <v>72</v>
      </c>
      <c r="F86" s="18" t="s">
        <v>85</v>
      </c>
      <c r="G86" s="17" t="s">
        <v>138</v>
      </c>
      <c r="H86" s="18" t="s">
        <v>46</v>
      </c>
      <c r="I86" s="17" t="s">
        <v>71</v>
      </c>
      <c r="J86" s="17" t="s">
        <v>99</v>
      </c>
      <c r="K86" s="19" t="n">
        <v>1.1329</v>
      </c>
      <c r="L86" s="20" t="n">
        <f aca="false">ROUND(INDEX(Premissas!$C$6:$C$11,MATCH(C86,Premissas!$B$6:$B$11,0))*K86,-3)</f>
        <v>1088000</v>
      </c>
      <c r="M86" s="17" t="str">
        <f aca="false">IF(L86&lt;1000000,"Até R$ 1 mi",IF(L86&lt;1500000,"R$ 1–1,5 mi",IF(L86&lt;2000000,"R$ 1,5–2 mi","Acima de R$ 2 mi")))</f>
        <v>R$ 1–1,5 mi</v>
      </c>
    </row>
    <row r="87" customFormat="false" ht="15" hidden="false" customHeight="false" outlineLevel="0" collapsed="false">
      <c r="A87" s="17" t="s">
        <v>243</v>
      </c>
      <c r="B87" s="17" t="s">
        <v>110</v>
      </c>
      <c r="C87" s="17" t="s">
        <v>53</v>
      </c>
      <c r="D87" s="17" t="s">
        <v>62</v>
      </c>
      <c r="E87" s="17" t="s">
        <v>72</v>
      </c>
      <c r="F87" s="18" t="s">
        <v>89</v>
      </c>
      <c r="G87" s="17" t="s">
        <v>117</v>
      </c>
      <c r="H87" s="18" t="s">
        <v>52</v>
      </c>
      <c r="I87" s="17" t="s">
        <v>75</v>
      </c>
      <c r="J87" s="17" t="s">
        <v>97</v>
      </c>
      <c r="K87" s="19" t="n">
        <v>1.1288</v>
      </c>
      <c r="L87" s="20" t="n">
        <f aca="false">ROUND(INDEX(Premissas!$C$6:$C$11,MATCH(C87,Premissas!$B$6:$B$11,0))*K87,-3)</f>
        <v>926000</v>
      </c>
      <c r="M87" s="17" t="str">
        <f aca="false">IF(L87&lt;1000000,"Até R$ 1 mi",IF(L87&lt;1500000,"R$ 1–1,5 mi",IF(L87&lt;2000000,"R$ 1,5–2 mi","Acima de R$ 2 mi")))</f>
        <v>Até R$ 1 mi</v>
      </c>
    </row>
    <row r="88" customFormat="false" ht="15" hidden="false" customHeight="false" outlineLevel="0" collapsed="false">
      <c r="A88" s="17" t="s">
        <v>244</v>
      </c>
      <c r="B88" s="17" t="s">
        <v>113</v>
      </c>
      <c r="C88" s="17" t="s">
        <v>45</v>
      </c>
      <c r="D88" s="17" t="s">
        <v>62</v>
      </c>
      <c r="E88" s="17" t="s">
        <v>72</v>
      </c>
      <c r="F88" s="18" t="s">
        <v>92</v>
      </c>
      <c r="G88" s="17" t="s">
        <v>111</v>
      </c>
      <c r="H88" s="18" t="s">
        <v>46</v>
      </c>
      <c r="I88" s="17" t="s">
        <v>71</v>
      </c>
      <c r="J88" s="17" t="s">
        <v>102</v>
      </c>
      <c r="K88" s="19" t="n">
        <v>2.5888</v>
      </c>
      <c r="L88" s="20" t="n">
        <f aca="false">ROUND(INDEX(Premissas!$C$6:$C$11,MATCH(C88,Premissas!$B$6:$B$11,0))*K88,-3)</f>
        <v>2537000</v>
      </c>
      <c r="M88" s="17" t="str">
        <f aca="false">IF(L88&lt;1000000,"Até R$ 1 mi",IF(L88&lt;1500000,"R$ 1–1,5 mi",IF(L88&lt;2000000,"R$ 1,5–2 mi","Acima de R$ 2 mi")))</f>
        <v>Acima de R$ 2 mi</v>
      </c>
    </row>
    <row r="89" customFormat="false" ht="15" hidden="false" customHeight="false" outlineLevel="0" collapsed="false">
      <c r="A89" s="17" t="s">
        <v>245</v>
      </c>
      <c r="B89" s="17" t="s">
        <v>116</v>
      </c>
      <c r="C89" s="17" t="s">
        <v>47</v>
      </c>
      <c r="D89" s="17" t="s">
        <v>66</v>
      </c>
      <c r="E89" s="17" t="s">
        <v>72</v>
      </c>
      <c r="F89" s="18" t="s">
        <v>90</v>
      </c>
      <c r="G89" s="17" t="s">
        <v>138</v>
      </c>
      <c r="H89" s="18" t="s">
        <v>46</v>
      </c>
      <c r="I89" s="17" t="s">
        <v>71</v>
      </c>
      <c r="J89" s="17" t="s">
        <v>102</v>
      </c>
      <c r="K89" s="19" t="n">
        <v>1.416</v>
      </c>
      <c r="L89" s="20" t="n">
        <f aca="false">ROUND(INDEX(Premissas!$C$6:$C$11,MATCH(C89,Premissas!$B$6:$B$11,0))*K89,-3)</f>
        <v>1147000</v>
      </c>
      <c r="M89" s="17" t="str">
        <f aca="false">IF(L89&lt;1000000,"Até R$ 1 mi",IF(L89&lt;1500000,"R$ 1–1,5 mi",IF(L89&lt;2000000,"R$ 1,5–2 mi","Acima de R$ 2 mi")))</f>
        <v>R$ 1–1,5 mi</v>
      </c>
    </row>
    <row r="90" customFormat="false" ht="15" hidden="false" customHeight="false" outlineLevel="0" collapsed="false">
      <c r="A90" s="17" t="s">
        <v>246</v>
      </c>
      <c r="B90" s="17" t="s">
        <v>160</v>
      </c>
      <c r="C90" s="17" t="s">
        <v>55</v>
      </c>
      <c r="D90" s="17" t="s">
        <v>66</v>
      </c>
      <c r="E90" s="17" t="s">
        <v>76</v>
      </c>
      <c r="F90" s="18" t="s">
        <v>92</v>
      </c>
      <c r="G90" s="17" t="s">
        <v>163</v>
      </c>
      <c r="H90" s="18" t="s">
        <v>63</v>
      </c>
      <c r="I90" s="17" t="s">
        <v>77</v>
      </c>
      <c r="J90" s="17" t="s">
        <v>100</v>
      </c>
      <c r="K90" s="19" t="n">
        <v>1.5722</v>
      </c>
      <c r="L90" s="20" t="n">
        <f aca="false">ROUND(INDEX(Premissas!$C$6:$C$11,MATCH(C90,Premissas!$B$6:$B$11,0))*K90,-3)</f>
        <v>912000</v>
      </c>
      <c r="M90" s="17" t="str">
        <f aca="false">IF(L90&lt;1000000,"Até R$ 1 mi",IF(L90&lt;1500000,"R$ 1–1,5 mi",IF(L90&lt;2000000,"R$ 1,5–2 mi","Acima de R$ 2 mi")))</f>
        <v>Até R$ 1 mi</v>
      </c>
    </row>
    <row r="91" customFormat="false" ht="15" hidden="false" customHeight="false" outlineLevel="0" collapsed="false">
      <c r="A91" s="17" t="s">
        <v>247</v>
      </c>
      <c r="B91" s="17" t="s">
        <v>140</v>
      </c>
      <c r="C91" s="17" t="s">
        <v>51</v>
      </c>
      <c r="D91" s="17" t="s">
        <v>64</v>
      </c>
      <c r="E91" s="17" t="s">
        <v>76</v>
      </c>
      <c r="F91" s="18" t="s">
        <v>91</v>
      </c>
      <c r="G91" s="17" t="s">
        <v>135</v>
      </c>
      <c r="H91" s="18" t="s">
        <v>59</v>
      </c>
      <c r="I91" s="17" t="s">
        <v>75</v>
      </c>
      <c r="J91" s="17" t="s">
        <v>95</v>
      </c>
      <c r="K91" s="19" t="n">
        <v>1.4029</v>
      </c>
      <c r="L91" s="20" t="n">
        <f aca="false">ROUND(INDEX(Premissas!$C$6:$C$11,MATCH(C91,Premissas!$B$6:$B$11,0))*K91,-3)</f>
        <v>1192000</v>
      </c>
      <c r="M91" s="17" t="str">
        <f aca="false">IF(L91&lt;1000000,"Até R$ 1 mi",IF(L91&lt;1500000,"R$ 1–1,5 mi",IF(L91&lt;2000000,"R$ 1,5–2 mi","Acima de R$ 2 mi")))</f>
        <v>R$ 1–1,5 mi</v>
      </c>
    </row>
    <row r="92" customFormat="false" ht="15" hidden="false" customHeight="false" outlineLevel="0" collapsed="false">
      <c r="A92" s="17" t="s">
        <v>248</v>
      </c>
      <c r="B92" s="17" t="s">
        <v>185</v>
      </c>
      <c r="C92" s="17" t="s">
        <v>49</v>
      </c>
      <c r="D92" s="17" t="s">
        <v>64</v>
      </c>
      <c r="E92" s="17" t="s">
        <v>72</v>
      </c>
      <c r="F92" s="18" t="s">
        <v>90</v>
      </c>
      <c r="G92" s="17" t="s">
        <v>129</v>
      </c>
      <c r="H92" s="18" t="s">
        <v>56</v>
      </c>
      <c r="I92" s="17" t="s">
        <v>73</v>
      </c>
      <c r="J92" s="17" t="s">
        <v>96</v>
      </c>
      <c r="K92" s="19" t="n">
        <v>1.6643</v>
      </c>
      <c r="L92" s="20" t="n">
        <f aca="false">ROUND(INDEX(Premissas!$C$6:$C$11,MATCH(C92,Premissas!$B$6:$B$11,0))*K92,-3)</f>
        <v>1598000</v>
      </c>
      <c r="M92" s="17" t="str">
        <f aca="false">IF(L92&lt;1000000,"Até R$ 1 mi",IF(L92&lt;1500000,"R$ 1–1,5 mi",IF(L92&lt;2000000,"R$ 1,5–2 mi","Acima de R$ 2 mi")))</f>
        <v>R$ 1,5–2 mi</v>
      </c>
    </row>
    <row r="93" customFormat="false" ht="15" hidden="false" customHeight="false" outlineLevel="0" collapsed="false">
      <c r="A93" s="17" t="s">
        <v>249</v>
      </c>
      <c r="B93" s="17" t="s">
        <v>142</v>
      </c>
      <c r="C93" s="17" t="s">
        <v>45</v>
      </c>
      <c r="D93" s="17" t="s">
        <v>62</v>
      </c>
      <c r="E93" s="17" t="s">
        <v>72</v>
      </c>
      <c r="F93" s="18" t="s">
        <v>92</v>
      </c>
      <c r="G93" s="17" t="s">
        <v>135</v>
      </c>
      <c r="H93" s="18" t="s">
        <v>59</v>
      </c>
      <c r="I93" s="17" t="s">
        <v>75</v>
      </c>
      <c r="J93" s="17" t="s">
        <v>102</v>
      </c>
      <c r="K93" s="19" t="n">
        <v>2.4143</v>
      </c>
      <c r="L93" s="20" t="n">
        <f aca="false">ROUND(INDEX(Premissas!$C$6:$C$11,MATCH(C93,Premissas!$B$6:$B$11,0))*K93,-3)</f>
        <v>2366000</v>
      </c>
      <c r="M93" s="17" t="str">
        <f aca="false">IF(L93&lt;1000000,"Até R$ 1 mi",IF(L93&lt;1500000,"R$ 1–1,5 mi",IF(L93&lt;2000000,"R$ 1,5–2 mi","Acima de R$ 2 mi")))</f>
        <v>Acima de R$ 2 mi</v>
      </c>
    </row>
    <row r="94" customFormat="false" ht="15" hidden="false" customHeight="false" outlineLevel="0" collapsed="false">
      <c r="A94" s="17" t="s">
        <v>250</v>
      </c>
      <c r="B94" s="17" t="s">
        <v>131</v>
      </c>
      <c r="C94" s="17" t="s">
        <v>47</v>
      </c>
      <c r="D94" s="17" t="s">
        <v>66</v>
      </c>
      <c r="E94" s="17" t="s">
        <v>74</v>
      </c>
      <c r="F94" s="18" t="s">
        <v>89</v>
      </c>
      <c r="G94" s="17" t="s">
        <v>126</v>
      </c>
      <c r="H94" s="18" t="s">
        <v>48</v>
      </c>
      <c r="I94" s="17" t="s">
        <v>71</v>
      </c>
      <c r="J94" s="17" t="s">
        <v>101</v>
      </c>
      <c r="K94" s="19" t="n">
        <v>1.2604</v>
      </c>
      <c r="L94" s="20" t="n">
        <f aca="false">ROUND(INDEX(Premissas!$C$6:$C$11,MATCH(C94,Premissas!$B$6:$B$11,0))*K94,-3)</f>
        <v>1021000</v>
      </c>
      <c r="M94" s="17" t="str">
        <f aca="false">IF(L94&lt;1000000,"Até R$ 1 mi",IF(L94&lt;1500000,"R$ 1–1,5 mi",IF(L94&lt;2000000,"R$ 1,5–2 mi","Acima de R$ 2 mi")))</f>
        <v>R$ 1–1,5 mi</v>
      </c>
    </row>
    <row r="95" customFormat="false" ht="15" hidden="false" customHeight="false" outlineLevel="0" collapsed="false">
      <c r="A95" s="17" t="s">
        <v>251</v>
      </c>
      <c r="B95" s="17" t="s">
        <v>174</v>
      </c>
      <c r="C95" s="17" t="s">
        <v>55</v>
      </c>
      <c r="D95" s="17" t="s">
        <v>66</v>
      </c>
      <c r="E95" s="17" t="s">
        <v>72</v>
      </c>
      <c r="F95" s="18" t="s">
        <v>87</v>
      </c>
      <c r="G95" s="17" t="s">
        <v>129</v>
      </c>
      <c r="H95" s="18" t="s">
        <v>56</v>
      </c>
      <c r="I95" s="17" t="s">
        <v>73</v>
      </c>
      <c r="J95" s="17" t="s">
        <v>99</v>
      </c>
      <c r="K95" s="19" t="n">
        <v>1.2632</v>
      </c>
      <c r="L95" s="20" t="n">
        <f aca="false">ROUND(INDEX(Premissas!$C$6:$C$11,MATCH(C95,Premissas!$B$6:$B$11,0))*K95,-3)</f>
        <v>733000</v>
      </c>
      <c r="M95" s="17" t="str">
        <f aca="false">IF(L95&lt;1000000,"Até R$ 1 mi",IF(L95&lt;1500000,"R$ 1–1,5 mi",IF(L95&lt;2000000,"R$ 1,5–2 mi","Acima de R$ 2 mi")))</f>
        <v>Até R$ 1 mi</v>
      </c>
    </row>
    <row r="96" customFormat="false" ht="15" hidden="false" customHeight="false" outlineLevel="0" collapsed="false">
      <c r="A96" s="17" t="s">
        <v>252</v>
      </c>
      <c r="B96" s="17" t="s">
        <v>165</v>
      </c>
      <c r="C96" s="17" t="s">
        <v>51</v>
      </c>
      <c r="D96" s="17" t="s">
        <v>64</v>
      </c>
      <c r="E96" s="17" t="s">
        <v>76</v>
      </c>
      <c r="F96" s="18" t="s">
        <v>91</v>
      </c>
      <c r="G96" s="17" t="s">
        <v>138</v>
      </c>
      <c r="H96" s="18" t="s">
        <v>46</v>
      </c>
      <c r="I96" s="17" t="s">
        <v>71</v>
      </c>
      <c r="J96" s="17" t="s">
        <v>98</v>
      </c>
      <c r="K96" s="19" t="n">
        <v>1.2703</v>
      </c>
      <c r="L96" s="20" t="n">
        <f aca="false">ROUND(INDEX(Premissas!$C$6:$C$11,MATCH(C96,Premissas!$B$6:$B$11,0))*K96,-3)</f>
        <v>1080000</v>
      </c>
      <c r="M96" s="17" t="str">
        <f aca="false">IF(L96&lt;1000000,"Até R$ 1 mi",IF(L96&lt;1500000,"R$ 1–1,5 mi",IF(L96&lt;2000000,"R$ 1,5–2 mi","Acima de R$ 2 mi")))</f>
        <v>R$ 1–1,5 mi</v>
      </c>
    </row>
    <row r="97" customFormat="false" ht="15" hidden="false" customHeight="false" outlineLevel="0" collapsed="false">
      <c r="A97" s="17" t="s">
        <v>253</v>
      </c>
      <c r="B97" s="17" t="s">
        <v>134</v>
      </c>
      <c r="C97" s="17" t="s">
        <v>53</v>
      </c>
      <c r="D97" s="17" t="s">
        <v>62</v>
      </c>
      <c r="E97" s="17" t="s">
        <v>72</v>
      </c>
      <c r="F97" s="18" t="s">
        <v>85</v>
      </c>
      <c r="G97" s="17" t="s">
        <v>138</v>
      </c>
      <c r="H97" s="18" t="s">
        <v>46</v>
      </c>
      <c r="I97" s="17" t="s">
        <v>71</v>
      </c>
      <c r="J97" s="17" t="s">
        <v>103</v>
      </c>
      <c r="K97" s="19" t="n">
        <v>1.0286</v>
      </c>
      <c r="L97" s="20" t="n">
        <f aca="false">ROUND(INDEX(Premissas!$C$6:$C$11,MATCH(C97,Premissas!$B$6:$B$11,0))*K97,-3)</f>
        <v>843000</v>
      </c>
      <c r="M97" s="17" t="str">
        <f aca="false">IF(L97&lt;1000000,"Até R$ 1 mi",IF(L97&lt;1500000,"R$ 1–1,5 mi",IF(L97&lt;2000000,"R$ 1,5–2 mi","Acima de R$ 2 mi")))</f>
        <v>Até R$ 1 mi</v>
      </c>
    </row>
    <row r="98" customFormat="false" ht="15" hidden="false" customHeight="false" outlineLevel="0" collapsed="false">
      <c r="A98" s="17" t="s">
        <v>254</v>
      </c>
      <c r="B98" s="17" t="s">
        <v>201</v>
      </c>
      <c r="C98" s="17" t="s">
        <v>45</v>
      </c>
      <c r="D98" s="17" t="s">
        <v>62</v>
      </c>
      <c r="E98" s="17" t="s">
        <v>72</v>
      </c>
      <c r="F98" s="18" t="s">
        <v>90</v>
      </c>
      <c r="G98" s="17" t="s">
        <v>117</v>
      </c>
      <c r="H98" s="18" t="s">
        <v>52</v>
      </c>
      <c r="I98" s="17" t="s">
        <v>75</v>
      </c>
      <c r="J98" s="17" t="s">
        <v>100</v>
      </c>
      <c r="K98" s="19" t="n">
        <v>1.4875</v>
      </c>
      <c r="L98" s="20" t="n">
        <f aca="false">ROUND(INDEX(Premissas!$C$6:$C$11,MATCH(C98,Premissas!$B$6:$B$11,0))*K98,-3)</f>
        <v>1458000</v>
      </c>
      <c r="M98" s="17" t="str">
        <f aca="false">IF(L98&lt;1000000,"Até R$ 1 mi",IF(L98&lt;1500000,"R$ 1–1,5 mi",IF(L98&lt;2000000,"R$ 1,5–2 mi","Acima de R$ 2 mi")))</f>
        <v>R$ 1–1,5 mi</v>
      </c>
    </row>
    <row r="99" customFormat="false" ht="15" hidden="false" customHeight="false" outlineLevel="0" collapsed="false">
      <c r="A99" s="17" t="s">
        <v>255</v>
      </c>
      <c r="B99" s="17" t="s">
        <v>193</v>
      </c>
      <c r="C99" s="17" t="s">
        <v>49</v>
      </c>
      <c r="D99" s="17" t="s">
        <v>64</v>
      </c>
      <c r="E99" s="17" t="s">
        <v>72</v>
      </c>
      <c r="F99" s="18" t="s">
        <v>83</v>
      </c>
      <c r="G99" s="17" t="s">
        <v>114</v>
      </c>
      <c r="H99" s="18" t="s">
        <v>61</v>
      </c>
      <c r="I99" s="17" t="s">
        <v>77</v>
      </c>
      <c r="J99" s="17" t="s">
        <v>102</v>
      </c>
      <c r="K99" s="19" t="n">
        <v>1.9231</v>
      </c>
      <c r="L99" s="20" t="n">
        <f aca="false">ROUND(INDEX(Premissas!$C$6:$C$11,MATCH(C99,Premissas!$B$6:$B$11,0))*K99,-3)</f>
        <v>1846000</v>
      </c>
      <c r="M99" s="17" t="str">
        <f aca="false">IF(L99&lt;1000000,"Até R$ 1 mi",IF(L99&lt;1500000,"R$ 1–1,5 mi",IF(L99&lt;2000000,"R$ 1,5–2 mi","Acima de R$ 2 mi")))</f>
        <v>R$ 1,5–2 mi</v>
      </c>
    </row>
    <row r="100" customFormat="false" ht="15" hidden="false" customHeight="false" outlineLevel="0" collapsed="false">
      <c r="A100" s="17" t="s">
        <v>256</v>
      </c>
      <c r="B100" s="17" t="s">
        <v>146</v>
      </c>
      <c r="C100" s="17" t="s">
        <v>47</v>
      </c>
      <c r="D100" s="17" t="s">
        <v>66</v>
      </c>
      <c r="E100" s="17" t="s">
        <v>72</v>
      </c>
      <c r="F100" s="18" t="s">
        <v>91</v>
      </c>
      <c r="G100" s="17" t="s">
        <v>117</v>
      </c>
      <c r="H100" s="18" t="s">
        <v>52</v>
      </c>
      <c r="I100" s="17" t="s">
        <v>75</v>
      </c>
      <c r="J100" s="17" t="s">
        <v>96</v>
      </c>
      <c r="K100" s="19" t="n">
        <v>2.6667</v>
      </c>
      <c r="L100" s="20" t="n">
        <f aca="false">ROUND(INDEX(Premissas!$C$6:$C$11,MATCH(C100,Premissas!$B$6:$B$11,0))*K100,-3)</f>
        <v>2160000</v>
      </c>
      <c r="M100" s="17" t="str">
        <f aca="false">IF(L100&lt;1000000,"Até R$ 1 mi",IF(L100&lt;1500000,"R$ 1–1,5 mi",IF(L100&lt;2000000,"R$ 1,5–2 mi","Acima de R$ 2 mi")))</f>
        <v>Acima de R$ 2 mi</v>
      </c>
    </row>
    <row r="101" customFormat="false" ht="15" hidden="false" customHeight="false" outlineLevel="0" collapsed="false">
      <c r="A101" s="17" t="s">
        <v>257</v>
      </c>
      <c r="B101" s="17" t="s">
        <v>162</v>
      </c>
      <c r="C101" s="17" t="s">
        <v>45</v>
      </c>
      <c r="D101" s="17" t="s">
        <v>62</v>
      </c>
      <c r="E101" s="17" t="s">
        <v>72</v>
      </c>
      <c r="F101" s="18" t="s">
        <v>90</v>
      </c>
      <c r="G101" s="17" t="s">
        <v>180</v>
      </c>
      <c r="H101" s="18" t="s">
        <v>54</v>
      </c>
      <c r="I101" s="17" t="s">
        <v>73</v>
      </c>
      <c r="J101" s="17" t="s">
        <v>101</v>
      </c>
      <c r="K101" s="19" t="n">
        <v>2.8214</v>
      </c>
      <c r="L101" s="20" t="n">
        <f aca="false">ROUND(INDEX(Premissas!$C$6:$C$11,MATCH(C101,Premissas!$B$6:$B$11,0))*K101,-3)</f>
        <v>2765000</v>
      </c>
      <c r="M101" s="17" t="str">
        <f aca="false">IF(L101&lt;1000000,"Até R$ 1 mi",IF(L101&lt;1500000,"R$ 1–1,5 mi",IF(L101&lt;2000000,"R$ 1,5–2 mi","Acima de R$ 2 mi")))</f>
        <v>Acima de R$ 2 mi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4"/>
  </cols>
  <sheetData>
    <row r="2" customFormat="false" ht="19.7" hidden="false" customHeight="false" outlineLevel="0" collapsed="false">
      <c r="B2" s="7" t="s">
        <v>258</v>
      </c>
    </row>
    <row r="3" customFormat="false" ht="15" hidden="false" customHeight="false" outlineLevel="0" collapsed="false">
      <c r="B3" s="2" t="s">
        <v>259</v>
      </c>
    </row>
    <row r="5" customFormat="false" ht="15" hidden="false" customHeight="false" outlineLevel="0" collapsed="false">
      <c r="B5" s="12" t="s">
        <v>40</v>
      </c>
      <c r="C5" s="12" t="s">
        <v>260</v>
      </c>
      <c r="D5" s="12" t="s">
        <v>60</v>
      </c>
    </row>
    <row r="6" customFormat="false" ht="15" hidden="false" customHeight="false" outlineLevel="0" collapsed="false">
      <c r="B6" s="17" t="s">
        <v>55</v>
      </c>
      <c r="C6" s="21" t="n">
        <v>580000</v>
      </c>
      <c r="D6" s="17" t="s">
        <v>66</v>
      </c>
    </row>
    <row r="7" customFormat="false" ht="15" hidden="false" customHeight="false" outlineLevel="0" collapsed="false">
      <c r="B7" s="17" t="s">
        <v>47</v>
      </c>
      <c r="C7" s="21" t="n">
        <v>810000</v>
      </c>
      <c r="D7" s="17" t="s">
        <v>66</v>
      </c>
    </row>
    <row r="8" customFormat="false" ht="15" hidden="false" customHeight="false" outlineLevel="0" collapsed="false">
      <c r="B8" s="17" t="s">
        <v>53</v>
      </c>
      <c r="C8" s="21" t="n">
        <v>820000</v>
      </c>
      <c r="D8" s="17" t="s">
        <v>62</v>
      </c>
    </row>
    <row r="9" customFormat="false" ht="15" hidden="false" customHeight="false" outlineLevel="0" collapsed="false">
      <c r="B9" s="17" t="s">
        <v>51</v>
      </c>
      <c r="C9" s="21" t="n">
        <v>850000</v>
      </c>
      <c r="D9" s="17" t="s">
        <v>64</v>
      </c>
    </row>
    <row r="10" customFormat="false" ht="15" hidden="false" customHeight="false" outlineLevel="0" collapsed="false">
      <c r="B10" s="17" t="s">
        <v>49</v>
      </c>
      <c r="C10" s="21" t="n">
        <v>960000</v>
      </c>
      <c r="D10" s="17" t="s">
        <v>64</v>
      </c>
    </row>
    <row r="11" customFormat="false" ht="15" hidden="false" customHeight="false" outlineLevel="0" collapsed="false">
      <c r="B11" s="17" t="s">
        <v>45</v>
      </c>
      <c r="C11" s="21" t="n">
        <v>980000</v>
      </c>
      <c r="D11" s="17" t="s">
        <v>62</v>
      </c>
    </row>
    <row r="13" customFormat="false" ht="15" hidden="false" customHeight="false" outlineLevel="0" collapsed="false">
      <c r="B13" s="2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90"/>
  </cols>
  <sheetData>
    <row r="2" customFormat="false" ht="19.7" hidden="false" customHeight="false" outlineLevel="0" collapsed="false">
      <c r="B2" s="7" t="s">
        <v>262</v>
      </c>
    </row>
    <row r="4" customFormat="false" ht="15" hidden="false" customHeight="false" outlineLevel="0" collapsed="false">
      <c r="B4" s="12" t="s">
        <v>263</v>
      </c>
      <c r="C4" s="12" t="s">
        <v>264</v>
      </c>
      <c r="D4" s="12" t="s">
        <v>265</v>
      </c>
    </row>
    <row r="5" customFormat="false" ht="15" hidden="false" customHeight="false" outlineLevel="0" collapsed="false">
      <c r="B5" s="22" t="s">
        <v>104</v>
      </c>
      <c r="C5" s="22" t="s">
        <v>266</v>
      </c>
      <c r="D5" s="22" t="s">
        <v>267</v>
      </c>
    </row>
    <row r="6" customFormat="false" ht="15" hidden="false" customHeight="false" outlineLevel="0" collapsed="false">
      <c r="B6" s="22" t="s">
        <v>105</v>
      </c>
      <c r="C6" s="22" t="s">
        <v>266</v>
      </c>
      <c r="D6" s="22" t="s">
        <v>268</v>
      </c>
    </row>
    <row r="7" customFormat="false" ht="15" hidden="false" customHeight="false" outlineLevel="0" collapsed="false">
      <c r="B7" s="22" t="s">
        <v>40</v>
      </c>
      <c r="C7" s="22" t="s">
        <v>266</v>
      </c>
      <c r="D7" s="22" t="s">
        <v>269</v>
      </c>
    </row>
    <row r="8" customFormat="false" ht="15" hidden="false" customHeight="false" outlineLevel="0" collapsed="false">
      <c r="B8" s="22" t="s">
        <v>60</v>
      </c>
      <c r="C8" s="22" t="s">
        <v>266</v>
      </c>
      <c r="D8" s="22" t="s">
        <v>270</v>
      </c>
    </row>
    <row r="9" customFormat="false" ht="15" hidden="false" customHeight="false" outlineLevel="0" collapsed="false">
      <c r="B9" s="22" t="s">
        <v>70</v>
      </c>
      <c r="C9" s="22" t="s">
        <v>266</v>
      </c>
      <c r="D9" s="22" t="s">
        <v>271</v>
      </c>
    </row>
    <row r="10" customFormat="false" ht="15" hidden="false" customHeight="false" outlineLevel="0" collapsed="false">
      <c r="B10" s="22" t="s">
        <v>81</v>
      </c>
      <c r="C10" s="22" t="s">
        <v>266</v>
      </c>
      <c r="D10" s="22" t="s">
        <v>272</v>
      </c>
    </row>
    <row r="11" customFormat="false" ht="15" hidden="false" customHeight="false" outlineLevel="0" collapsed="false">
      <c r="B11" s="22" t="s">
        <v>106</v>
      </c>
      <c r="C11" s="22" t="s">
        <v>266</v>
      </c>
      <c r="D11" s="22" t="s">
        <v>273</v>
      </c>
    </row>
    <row r="12" customFormat="false" ht="15" hidden="false" customHeight="false" outlineLevel="0" collapsed="false">
      <c r="B12" s="22" t="s">
        <v>44</v>
      </c>
      <c r="C12" s="22" t="s">
        <v>266</v>
      </c>
      <c r="D12" s="22" t="s">
        <v>274</v>
      </c>
    </row>
    <row r="13" customFormat="false" ht="15" hidden="false" customHeight="false" outlineLevel="0" collapsed="false">
      <c r="B13" s="22" t="s">
        <v>69</v>
      </c>
      <c r="C13" s="22" t="s">
        <v>266</v>
      </c>
      <c r="D13" s="22" t="s">
        <v>275</v>
      </c>
    </row>
    <row r="14" customFormat="false" ht="15" hidden="false" customHeight="false" outlineLevel="0" collapsed="false">
      <c r="B14" s="22" t="s">
        <v>94</v>
      </c>
      <c r="C14" s="22" t="s">
        <v>266</v>
      </c>
      <c r="D14" s="22" t="s">
        <v>276</v>
      </c>
    </row>
    <row r="15" customFormat="false" ht="15" hidden="false" customHeight="false" outlineLevel="0" collapsed="false">
      <c r="B15" s="22" t="s">
        <v>107</v>
      </c>
      <c r="C15" s="22" t="s">
        <v>277</v>
      </c>
      <c r="D15" s="22" t="s">
        <v>278</v>
      </c>
    </row>
    <row r="16" customFormat="false" ht="15" hidden="false" customHeight="false" outlineLevel="0" collapsed="false">
      <c r="B16" s="22" t="s">
        <v>108</v>
      </c>
      <c r="C16" s="22" t="s">
        <v>279</v>
      </c>
      <c r="D16" s="22" t="s">
        <v>280</v>
      </c>
    </row>
    <row r="17" customFormat="false" ht="15" hidden="false" customHeight="false" outlineLevel="0" collapsed="false">
      <c r="B17" s="22" t="s">
        <v>80</v>
      </c>
      <c r="C17" s="22" t="s">
        <v>266</v>
      </c>
      <c r="D17" s="22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2026-10-20T02:16:25Z</dcterms:created>
  <dc:creator>openpyxl</dc:creator>
  <dc:description/>
  <dc:language>en-US</dc:language>
  <cp:lastModifiedBy/>
  <dcterms:modified xsi:type="dcterms:W3CDTF">2026-10-20T02:16:25Z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